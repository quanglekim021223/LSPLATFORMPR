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quangkimle/Downloads/"/>
    </mc:Choice>
  </mc:AlternateContent>
  <xr:revisionPtr revIDLastSave="0" documentId="13_ncr:1_{FF365EFC-A1CC-F848-83D9-3961D3305E1B}" xr6:coauthVersionLast="47" xr6:coauthVersionMax="47" xr10:uidLastSave="{00000000-0000-0000-0000-000000000000}"/>
  <bookViews>
    <workbookView xWindow="1560" yWindow="600" windowWidth="32040" windowHeight="20400" activeTab="3" xr2:uid="{00000000-000D-0000-FFFF-FFFF00000000}"/>
  </bookViews>
  <sheets>
    <sheet name="01_Overview" sheetId="1" r:id="rId1"/>
    <sheet name="02_Endpoint_Contract" sheetId="2" r:id="rId2"/>
    <sheet name="03_API Response" sheetId="5" r:id="rId3"/>
    <sheet name="04_Ingestion_Pipeline" sheetId="6"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 l="1"/>
  <c r="A4" i="1"/>
</calcChain>
</file>

<file path=xl/sharedStrings.xml><?xml version="1.0" encoding="utf-8"?>
<sst xmlns="http://schemas.openxmlformats.org/spreadsheetml/2006/main" count="493" uniqueCount="284">
  <si>
    <t>FSA Data Lake — API Ingestion Matrix v3</t>
  </si>
  <si>
    <t>DATA SOURCES</t>
  </si>
  <si>
    <t>ENDPOINTS / INTERFACES</t>
  </si>
  <si>
    <t>No.</t>
  </si>
  <si>
    <t>Vendor / Source</t>
  </si>
  <si>
    <t>Category</t>
  </si>
  <si>
    <t>Catalog Interface</t>
  </si>
  <si>
    <t>Learning / Assessment Interface</t>
  </si>
  <si>
    <t>Authentication</t>
  </si>
  <si>
    <t>Primary Reference</t>
  </si>
  <si>
    <t>LevelUP (Absorb)</t>
  </si>
  <si>
    <t>Vendor</t>
  </si>
  <si>
    <t>GET /courses
Exclude LinkedIn Learning</t>
  </si>
  <si>
    <t>GET /courses/{courseId}/enrollments
Loop by course</t>
  </si>
  <si>
    <t>Private API key + Absorb token</t>
  </si>
  <si>
    <t>https://docs.myabsorb.com/integration-api/v2/docs</t>
  </si>
  <si>
    <t>SkillUp (iMocha)</t>
  </si>
  <si>
    <t>GET /taxonomy</t>
  </si>
  <si>
    <t>GET /employees/skills-profile
GET /v3/reports</t>
  </si>
  <si>
    <t>x-api-key</t>
  </si>
  <si>
    <t>https://developer.imocha.io/introduction-1161997m0</t>
  </si>
  <si>
    <t>DataCamp</t>
  </si>
  <si>
    <t>GET live + archived catalog</t>
  </si>
  <si>
    <t>GET /v1/events</t>
  </si>
  <si>
    <t>Bearer token</t>
  </si>
  <si>
    <t>https://datacamp.stoplight.io/docs/lms-external-catalog-api</t>
  </si>
  <si>
    <t>Coursera</t>
  </si>
  <si>
    <t>GET /{orgId}/contents</t>
  </si>
  <si>
    <t>GET /{orgId}/enrollmentReports</t>
  </si>
  <si>
    <t>https://dev.coursera.com/docs/coursera-for-business-api-product/1/routes/api/businesses.v1/%7BorgId%7D/contents/%7Bid%7D/get</t>
  </si>
  <si>
    <t>LinkedIn Learning</t>
  </si>
  <si>
    <t>GET /v2/learningAssets</t>
  </si>
  <si>
    <t>GET /v2/learningActivityReports</t>
  </si>
  <si>
    <t>OAuth 2.0 bearer token</t>
  </si>
  <si>
    <t>https://fpt-software.docs.buildwithfern.com/fsa-learning-data-platform-ingestion-ap-is</t>
  </si>
  <si>
    <t>Harvard HMM</t>
  </si>
  <si>
    <t>HBP Catalog API</t>
  </si>
  <si>
    <t>SFTP daily CSV</t>
  </si>
  <si>
    <t>OAuth 2.0 + SFTP credentials</t>
  </si>
  <si>
    <t>HBP Catalog API user documentation v1.2</t>
  </si>
  <si>
    <t>Harvard Spark</t>
  </si>
  <si>
    <t>FAMS (Internal)</t>
  </si>
  <si>
    <t>Internal</t>
  </si>
  <si>
    <t>N/A</t>
  </si>
  <si>
    <t>GET /api/fsa-reports/training-data</t>
  </si>
  <si>
    <t>Fsa-Report-Api-Key</t>
  </si>
  <si>
    <t>FAMS Training Data API Guide v1.0</t>
  </si>
  <si>
    <t>Endpoint Contract</t>
  </si>
  <si>
    <t>Endpoint ID</t>
  </si>
  <si>
    <t>Data Domain</t>
  </si>
  <si>
    <t>Method / Protocol</t>
  </si>
  <si>
    <t>Endpoint / Location</t>
  </si>
  <si>
    <t>Auth &amp; Required Headers</t>
  </si>
  <si>
    <t>Required Input</t>
  </si>
  <si>
    <t>Query / Pagination</t>
  </si>
  <si>
    <t>Raw Output</t>
  </si>
  <si>
    <t>ABS-00</t>
  </si>
  <si>
    <t>POST
HTTPS API</t>
  </si>
  <si>
    <t>https://rest.myabsorb.eu
/authenticate</t>
  </si>
  <si>
    <t>Private API Key + Absorb Admin credentials
X-API-Key: {{absorb_api_key}}
Content-Type: application/json
x-api-version: 2 (recommended)</t>
  </si>
  <si>
    <t>Body: {
  "username": "{{absorb_username}}",
  "password": "{{absorb_password}}",
  "privateKey": "{{absorb_api_key}}"
}</t>
  </si>
  <si>
    <t>—</t>
  </si>
  <si>
    <t>ABS-01</t>
  </si>
  <si>
    <t>Course Catalog</t>
  </si>
  <si>
    <t>GET
HTTPS API</t>
  </si>
  <si>
    <t>https://rest.myabsorb.eu
/courses</t>
  </si>
  <si>
    <t>Absorb API token + Private API Key
Authorization: {{absorb_token}}
X-API-Key: {{absorb_api_key}}
x-api-version: 2</t>
  </si>
  <si>
    <t>Params: _limit; _offset; _filter=vendor ne 'LinkedIn Learning'
Paging: _offset starts at 0; _limit up to 1000; continue until all courses are returned.</t>
  </si>
  <si>
    <t>JSON: {totalItems, returnedItems, limit, offset, courses[]}</t>
  </si>
  <si>
    <t>ABS-02</t>
  </si>
  <si>
    <t>Learning History</t>
  </si>
  <si>
    <t>https://rest.myabsorb.eu
/courses/{courseId}/enrollments</t>
  </si>
  <si>
    <t>Path: courseId (from the filtered Course List)</t>
  </si>
  <si>
    <t>Params: _limit; _offset
Paging: Paginate enrollments within each course using _limit/_offset.</t>
  </si>
  <si>
    <t>JSON: {totalItems, returnedItems, limit, offset, enrollments[]}</t>
  </si>
  <si>
    <t>IMO-01</t>
  </si>
  <si>
    <t>Skill Taxonomy</t>
  </si>
  <si>
    <t>https://api.skillsintelligence.imocha.io
/taxonomy</t>
  </si>
  <si>
    <t>API Key
x-api-key: {{imocha_api_key}}</t>
  </si>
  <si>
    <t>JSON: items[] + pageNumber, totalPages, totalCount, hasPreviousPage, hasNextPage</t>
  </si>
  <si>
    <t>IMO-02</t>
  </si>
  <si>
    <t>Skill Inventory</t>
  </si>
  <si>
    <t>https://api.skillsintelligence.imocha.io
/employees/skills-profile</t>
  </si>
  <si>
    <t>JSON: Employee[] with skill profile; detailed schema to be captured from successful response</t>
  </si>
  <si>
    <t>IMO-03</t>
  </si>
  <si>
    <t>Assessment History</t>
  </si>
  <si>
    <t>https://apiv3.imocha.io
/v3/reports</t>
  </si>
  <si>
    <t>JSON: reports[] + pageNumber, totalPages, totalCount, hasPreviousPage, hasNextPage</t>
  </si>
  <si>
    <t>DCP-01</t>
  </si>
  <si>
    <t>Course Catalog - Live</t>
  </si>
  <si>
    <t>{{datacamp_base_url}}
/v1/catalog/live-courses</t>
  </si>
  <si>
    <t>Bearer Token
Authorization: Bearer {{datacamp_token}}</t>
  </si>
  <si>
    <t>DCP-02</t>
  </si>
  <si>
    <t>Course Catalog - Archived</t>
  </si>
  <si>
    <t>{{datacamp_base_url}}
/v1/catalog/archived-courses</t>
  </si>
  <si>
    <t>DCP-03</t>
  </si>
  <si>
    <t>{{datacamp_base_url}}
/v1/events</t>
  </si>
  <si>
    <t>Bearer Token
Authorization: Bearer {{datacamp_token}}
Accept: application/json</t>
  </si>
  <si>
    <t>JSON: data[] + meta{page,pageSize,numberOfPages}</t>
  </si>
  <si>
    <t>COU-01</t>
  </si>
  <si>
    <t>{{coursera_base_url}}
/{coursera_org_id}/contents</t>
  </si>
  <si>
    <t>Bearer Token
Authorization: Bearer {{coursera_token}}</t>
  </si>
  <si>
    <t>Path: coursera_org_id</t>
  </si>
  <si>
    <t>JSON: ContentList: Course and Specialization items</t>
  </si>
  <si>
    <t>COU-02</t>
  </si>
  <si>
    <t>{{coursera_base_url}}
/{coursera_org_id}/enrollmentReports</t>
  </si>
  <si>
    <t>JSON: EnrollmentReportResponse (paginated); each row represents user + course progress</t>
  </si>
  <si>
    <t>LNK-00</t>
  </si>
  <si>
    <t>https://www.linkedin.com
/oauth/v2/accessToken</t>
  </si>
  <si>
    <t>OAuth 2.0 client credentials
Content-Type: application/x-www-form-urlencoded</t>
  </si>
  <si>
    <t>Body: grant_type; client_id; client_secret</t>
  </si>
  <si>
    <t>JSON: access_token, expires_in, token_type (capture actual response)</t>
  </si>
  <si>
    <t>LNK-01</t>
  </si>
  <si>
    <t>https://api.linkedin.com/v2
/learningAssets</t>
  </si>
  <si>
    <t>OAuth 2.0 Bearer Token
Authorization: Bearer {{linkedin_access_token}}</t>
  </si>
  <si>
    <t>JSON: elements[] + paging{total,count,start,links[]}</t>
  </si>
  <si>
    <t>LNK-02</t>
  </si>
  <si>
    <t>https://api.linkedin.com/v2
/learningActivityReports</t>
  </si>
  <si>
    <t>JSON: elements[]{activities[],learnerDetails,contentDetails} + paging</t>
  </si>
  <si>
    <t>HMM-00</t>
  </si>
  <si>
    <t>https://catalog-api.myhbp.org/v1
/api/oauth/v2/accesstoken</t>
  </si>
  <si>
    <t>OAuth 2.0 Client Credentials
Authorization: Basic base64(client_id:client_secret)
Content-Type: application/x-www-form-urlencoded</t>
  </si>
  <si>
    <t>Body: grant_type=client_credentials
scope=hbp.org.api/catalog.read</t>
  </si>
  <si>
    <t>JSON: access_token, expires_in, token_type</t>
  </si>
  <si>
    <t>HMM-01</t>
  </si>
  <si>
    <t>Course Catalog - Full</t>
  </si>
  <si>
    <t>https://catalog-api.myhbp.org/v1
/api/catalog/{orgKey}</t>
  </si>
  <si>
    <t>OAuth 2.0 Bearer Token
Authorization: Bearer {{access_token}}</t>
  </si>
  <si>
    <t>Path: orgKey</t>
  </si>
  <si>
    <t>Params: catalogs=HMM; limit; start
Paging: start is zero-based; limit 1..1000</t>
  </si>
  <si>
    <t>JSON: {limit,count,start,list:[catalog items]}</t>
  </si>
  <si>
    <t>HMM-02</t>
  </si>
  <si>
    <t>Course Catalog - Delta</t>
  </si>
  <si>
    <t>Params: catalogs=HMM; startDate=YYYYMMDD; limit; start
Paging: start is zero-based; limit 1..1000</t>
  </si>
  <si>
    <t>JSON: {limit,count,start,list:[catalog items]}; Status=Active/Removed</t>
  </si>
  <si>
    <t>HMM-03</t>
  </si>
  <si>
    <t>SFTP GET
SFTP / CSV</t>
  </si>
  <si>
    <t>transfer.hbsp.harvard.edu:22
/fpt_sparkprod_feed</t>
  </si>
  <si>
    <t>SFTP username/password
SSH host-key verification; credentials stored in secret manager</t>
  </si>
  <si>
    <t>Params: File pattern: harvard_hmm_reporting_YYYYMMDD.csv</t>
  </si>
  <si>
    <t>CSV: Daily HMM reporting file; raw columns must be captured from a downloaded sample</t>
  </si>
  <si>
    <t>SPK-00</t>
  </si>
  <si>
    <t>SPK-01</t>
  </si>
  <si>
    <t>Params: catalogs=HBR_SPARK; limit; start
Paging: start is zero-based; limit 1..1000</t>
  </si>
  <si>
    <t>SPK-02</t>
  </si>
  <si>
    <t>Params: catalogs=HBR_SPARK; startDate=YYYYMMDD; limit; start
Paging: start is zero-based; limit 1..1000</t>
  </si>
  <si>
    <t>SPK-03</t>
  </si>
  <si>
    <t>Params: File pattern: harvard_Spark_reporting_YYYYMMDD.csv</t>
  </si>
  <si>
    <t>CSV: Daily Spark reporting file; actual header must be loaded into Raw Schema</t>
  </si>
  <si>
    <t>FAM-01</t>
  </si>
  <si>
    <t>Training Data - Full</t>
  </si>
  <si>
    <t>https://fams.fa.edu.vn
/api/fsa-reports/training-data</t>
  </si>
  <si>
    <t>Shared API Key
Fsa-Report-Api-Key: {{fsa_report_api_key}}
Accept: application/json</t>
  </si>
  <si>
    <t>Params: None
Paging: No pagination</t>
  </si>
  <si>
    <t>JSON: BaseResponseDto{success,message,error_code,data{classList[],studentList[]}}</t>
  </si>
  <si>
    <t>FAM-02</t>
  </si>
  <si>
    <t>Training Data - Filtered</t>
  </si>
  <si>
    <t>Params: status (CSV enum); site (CSV); actualStartDateFrom=YYYYMMDD; actualStartDateTo=YYYYMMDD
Paging: No pagination</t>
  </si>
  <si>
    <t>JSON: Same BaseResponseDto with classList[] and studentList[]</t>
  </si>
  <si>
    <t>JSON authentication response containing the API token. Exact token field name and response envelope:</t>
  </si>
  <si>
    <t>Params: pageNumber, pageSize. Optional for future Delta/search: SkillProfileModifiedSince, searchText.</t>
  </si>
  <si>
    <t>Optional params: PageNo, PageSize, includeSections, startDate, endDate.
PageNo defaults to 1. PageSize defaults to 100 and the maximum is 100. Increment PageNo until hasNextPage=false or PageNo &gt;= totalPages. If no date range is supplied, only reports from the previous 7 days are returned.</t>
  </si>
  <si>
    <t>Params: contentType, eventType, from, to, page, pageSize
Paging: page starts at 1; pageSize default 100, maximum 1000.
Response pagination: meta{page, pageSize, numberOfPages}.</t>
  </si>
  <si>
    <t>Required: PageNumber, PageSize.
Optional: SearchText, LastModifiedOn, TaxonomySkillIds, IncludeTaxonomySkillTags, IncludeDescription, IncludeSkillRubric.
Paging: increment PageNumber until hasNextPage=false.</t>
  </si>
  <si>
    <t>Optional: start, limit, modifiedSinceTimestamp, contentTypes, q, programIds.
Paging: paginate using start/limit.</t>
  </si>
  <si>
    <t>Params: start, limit, includeS12n.
Optional: includeDeletedMembers, includeExpiredContracts, q, programId, externalId, enrollAtAfter/Before, completedAtAfter/Before, lastActivityAfter/Before.
Paging: start/limit or cursor pagination.</t>
  </si>
  <si>
    <t>Required: q=criteria.
Optional: assetTypes[], licensedOnly, keyword, lastModifiedAfter, locales[], expandDepth, includeRetired.
Paging: start/count.</t>
  </si>
  <si>
    <t>Required: q=criteria, startedAt, timeOffset.unit/duration, aggregationCriteria.primary/secondary.
Optional: contentSource, assetType.
Paging: start/count.</t>
  </si>
  <si>
    <t>1. LevelUP LMS</t>
  </si>
  <si>
    <t>Endpoint</t>
  </si>
  <si>
    <t>Method</t>
  </si>
  <si>
    <t>POST</t>
  </si>
  <si>
    <t>https://rest.myabsorb.eu/authenticate</t>
  </si>
  <si>
    <t>Response Sample</t>
  </si>
  <si>
    <t>plain string authentication token</t>
  </si>
  <si>
    <t>GET</t>
  </si>
  <si>
    <t>Course List</t>
  </si>
  <si>
    <t>https://rest.myabsorb.eu/courses?_limit=1000&amp;_offset=0&amp;_filter=vendor ne 'LinkedIn Learning'</t>
  </si>
  <si>
    <t>https://rest.myabsorb.eu/courses/{{absorb_course_id}}/enrollments?_limit=1000&amp;_offset=0</t>
  </si>
  <si>
    <t>2. SkillUp (iMocha)</t>
  </si>
  <si>
    <t>https://api.skillsintelligence.imocha.io/taxonomy?PageNumber=1&amp;PageSize=50&amp;IncludeTaxonomySkillTags=true&amp;IncludeDescription=true</t>
  </si>
  <si>
    <t xml:space="preserve">Skill Inventory </t>
  </si>
  <si>
    <t>https://api.skillsintelligence.imocha.io/employees/skills-profile?pageNumber=1&amp;pageSize=50</t>
  </si>
  <si>
    <t>All Reports</t>
  </si>
  <si>
    <t>https://apiv3.imocha.io/v3/reports?PageNo=1&amp;PageSize=100&amp;includeSections=true&amp;startDate=2026-01-01T00%3A00%3A00Z&amp;endDate=2026-12-31T23%3A59%3A59Z</t>
  </si>
  <si>
    <t>5. LinkedIn Learning</t>
  </si>
  <si>
    <t>https://www.linkedin.com/oauth/v2/accessToken</t>
  </si>
  <si>
    <t>Token</t>
  </si>
  <si>
    <t>Access Token</t>
  </si>
  <si>
    <t>https://api.linkedin.com/v2/learningAssets?q=criteria&amp;assetFilteringCriteria.assetTypes[0]=COURSE&amp;assetFilteringCriteria.licensedOnly=true&amp;assetRetrievalCriteria.expandDepth=1&amp;assetRetrievalCriteria.includeRetired=false&amp;start=0&amp;count=20</t>
  </si>
  <si>
    <t>https://api.linkedin.com/v2/learningActivityReports?q=criteria&amp;startedAt=1704067200000&amp;timeOffset.unit=DAY&amp;timeOffset.duration=14&amp;aggregationCriteria.primary=INDIVIDUAL&amp;aggregationCriteria.secondary=CONTENT&amp;contentSource=ALL_SOURCES&amp;assetType=COURSE&amp;count=20&amp;start=0</t>
  </si>
  <si>
    <t>6. Harvard HMM</t>
  </si>
  <si>
    <t>OAuth 2.0 Access Token</t>
  </si>
  <si>
    <t>https://catalog-api.myhbp.org/v1/api/oauth/v2/accesstoken</t>
  </si>
  <si>
    <t>Course List Full Catalog</t>
  </si>
  <si>
    <t>https://catalog-api.myhbp.org/v1/api/catalog/FPTSOFTWARE?catalogs=HMM&amp;limit=50&amp;start=0</t>
  </si>
  <si>
    <t>Course List Delta Catalog  (since date)</t>
  </si>
  <si>
    <t>https://catalog-api.myhbp.org/v1/api/catalog/FPTSOFTWARE?catalogs=HMM&amp;startDate=20250101&amp;limit=50&amp;start=0</t>
  </si>
  <si>
    <t>7. Harvard Spark</t>
  </si>
  <si>
    <t>Course List Full Catalog - HBR Spark</t>
  </si>
  <si>
    <t>https://catalog-api.myhbp.org/v1/api/catalog/FPTSOFTWARE?catalogs=HBR_SPARK&amp;limit=50&amp;start=0</t>
  </si>
  <si>
    <t>Course List Delta Catalog - HBR Spark (since date)</t>
  </si>
  <si>
    <t>https://catalog-api.myhbp.org/v1/api/catalog/FPTSOFTWARE?catalogs=HBR_SPARK&amp;startDate=20250101&amp;limit=50&amp;start=0</t>
  </si>
  <si>
    <t>History Learning</t>
  </si>
  <si>
    <t>File: harvard_Spark_reporting_20260820.csv
Format: CSV
Data rows: 11,620
Columns:
Event Date, Username, First Name, Last Name, Email, Role,
Event Name, Title, Asset Type, Product ID, Skills,
Duration, Registration Date
Sample:
2026-08-19,user***@fpt.com,[REDACTED],[REDACTED],
user***@fpt.com,Learner,Views,[Course Title],
Videos,[Product ID],[Skill],4,2026-01-21</t>
  </si>
  <si>
    <t>File: harvard_hmm_reporting_20260820.csv
Format: CSV
Data rows: 258
Columns:
EventDate, Username, FirstName, LastName, Email, EventName, Title, Product ID
Sample:
20260819,user***@fpt.com,[REDACTED],[REDACTED],user***@fpt.com,Completed,Decision Making,186DM-HTM-ENG</t>
  </si>
  <si>
    <t>{
    "totalItems": 2153,
    "returnedItems": 3,
    "limit": 3,
    "offset": 100,
    "courses": [
        {
            "id": "2a9fb046-b4d1-4a75-8842-dc00be74baed",
            "courseType": "OnlineCourse",
            "name": "[Learn Later]  FPT CASAN - AI Transformation Methodology for FJP by FCU (Chinese)",
            "description": "&lt;p&gt;This topic aims to introduce and explain the AI Transformation Methodology – FPT CASAN in detail to all employees, helping them gain a clear understanding of this FPT methodology.&amp;nbsp;&lt;/p&gt;&lt;p&gt;In details, after completing the course, trainees will:&lt;/p&gt;&lt;ul&gt;&lt;li&gt;Understand the global AI context and AI transformation, and the urgency of the FPT CASAN methodology's emergence&lt;/li&gt;&lt;li&gt;Grasp the AI maturity levels in the CASAN model&lt;/li&gt;&lt;li&gt;Raise awareness about the important role of each individual in developing AI capabilities at FPT&lt;/li&gt;&lt;/ul&gt;",
            "notes": null,
            "externalId": null,
            "accessDate": null,
            "expireType": 0,
            "expireDuration": {
                "years": 0,
                "months": 0,
                "days": 0,
                "hours": 0
            },
            "expiryDate": null,
            "activeStatus": 0,
            "tagIds": [],
            "resourceIds": [
                "3099f6cf-25e8-4c1f-8a90-89b4d1616309"
            ],
            "editorIds": [],
            "prices": [],
            "competencyDefinitionIds": [],
            "prerequisiteCourseIds": [],
            "postEnrollmentCourseIds": [],
            "allowCourseEvaluation": true,
            "categoryId": "8f73f75c-873c-44fb-b936-687519c87810",
            "certificateUrl": null,
            "audience": null,
            "goals": null,
            "vendor": null,
            "companyCost": null,
            "learnerCost": null,
            "companyTime": null,
            "learnerTime": null,
            "dateEdited": "2026-07-29T05:35:22.023",
            "dateAdded": "2026-07-20T09:15:45.21"
        },
        {
            "id": "2c03e719-7a06-4411-92b5-824ce91bd399",
            "courseType": "OnlineCourse",
            "name": "[Learn Later]  FPT CASAN - AI Transformation Methodology for FJP by FCU (Japanese)",
            "description": "&lt;p&gt;This topic aims to introduce and explain the AI Transformation Methodology – FPT CASAN in detail to all employees, helping them gain a clear understanding of this FPT methodology.&amp;nbsp;&lt;/p&gt;&lt;p&gt;In details, after completing the course, trainees will:&lt;/p&gt;&lt;ul&gt;&lt;li&gt;Understand the global AI context and AI transformation, and the urgency of the FPT CASAN methodology's emergence&lt;/li&gt;&lt;li&gt;Grasp the AI maturity levels in the CASAN model&lt;/li&gt;&lt;li&gt;Raise awareness about the important role of each individual in developing AI capabilities at FPT&lt;/li&gt;&lt;/ul&gt;",
            "notes": null,
            "externalId": null,
            "accessDate": null,
            "expireType": 0,
            "expireDuration": {
                "years": 0,
                "months": 0,
                "days": 0,
                "hours": 0
            },
            "expiryDate": null,
            "activeStatus": 0,
            "tagIds": [],
            "resourceIds": [
                "86ed3555-a4a1-4eb1-8be7-409564681943",
                "b91a4ada-1ca4-4296-a517-76f7f4ae7e5d"
            ],
            "editorIds": [],
            "prices": [],
            "competencyDefinitionIds": [],
            "prerequisiteCourseIds": [],
            "postEnrollmentCourseIds": [],
            "allowCourseEvaluation": true,
            "categoryId": "8f73f75c-873c-44fb-b936-687519c87810",
            "certificateUrl": null,
            "audience": null,
            "goals": null,
            "vendor": null,
            "companyCost": null,
            "learnerCost": null,
            "companyTime": null,
            "learnerTime": null,
            "dateEdited": "2026-07-29T05:34:48.03",
            "dateAdded": "2026-07-20T01:37:46.347"
        },
        {
            "id": "2d55e35c-0e7e-45bb-ab40-8cee7785b1c3",
            "courseType": "OnlineCourse",
            "name": "[Learn Later] Artificial Intelligence Management System Awareness for All (GR 5-10) by GRC (English)",
            "description": "&lt;p&gt;In detail, after completing the course, trainees will:&lt;/p&gt;&lt;ul&gt;&lt;li&gt;Understand the AI Management System and master Fsoft’s AI policy.&lt;/li&gt;&lt;li&gt;Learn about the impact assessment of AI systems.&lt;/li&gt;&lt;li&gt;And most importantly, you will know how and to whom to report when there are AIMS issues.&lt;/li&gt;&lt;/ul&gt;",
            "notes": null,
            "externalId": null,
            "accessDate": null,
            "expireType": 0,
            "expireDuration": {
                "years": 0,
                "months": 0,
                "days": 0,
                "hours": 0
            },
            "expiryDate": null,
            "activeStatus": 0,
            "tagIds": [],
            "resourceIds": [],
            "editorIds": [],
            "prices": [],
            "competencyDefinitionIds": [],
            "prerequisiteCourseIds": [],
            "postEnrollmentCourseIds": [],
            "allowCourseEvaluation": true,
            "categoryId": "8f73f75c-873c-44fb-b936-687519c87810",
            "certificateUrl": "Private/Defaults/Cert LevelUP_Final_v9.3.pdf",
            "audience": null,
            "goals": null,
            "vendor": null,
            "companyCost": null,
            "learnerCost": null,
            "companyTime": null,
            "learnerTime": null,
            "dateEdited": "2026-06-29T07:09:09.58",
            "dateAdded": "2026-04-22T03:49:29.297"
        }
    ]
}</t>
  </si>
  <si>
    <t>{
    "totalItems": 19,
    "returnedItems": 3,
    "limit": 3,
    "offset": 3,
    "enrollments": [
        {
            "id": "f272c826-7d06-4625-abc0-8908f2531844",
            "courseId": "2d55e35c-0e7e-45bb-ab40-8cee7785b1c3",
            "courseName": "[Learn Later] Artificial Intelligence Management System Awareness for All (GR 5-10) by GRC (English)",
            "progress": 100.00,
            "score": 90.00,
            "status": 3,
            "dateCompleted": "2026-06-30T16:39:33.857",
            "dateExpires": null,
            "fullName": "Jeong Juhee",
            "jobTitle": "Senior Software Engineer",
            "courseVersionId": null,
            "userId": "f803d03c-2903-48de-b302-1a047f862f52",
            "acceptedTermsAndConditions": false,
            "timeSpent": "00:26:08.5494372",
            "dateStarted": "2026-06-30T16:09:13.36",
            "enrollmentKeyId": null,
            "certificateId": "66f2dba6-f871-4962-936c-72ff0faa7091",
            "credits": null,
            "isActive": true,
            "dateDue": null,
            "dateEdited": "2026-06-30T16:39:34",
            "dateAdded": "2026-06-30T16:09:13.97"
        },
        {
            "id": "5f337f5c-e2cb-4df7-ba89-6fc3011027fb",
            "courseId": "2d55e35c-0e7e-45bb-ab40-8cee7785b1c3",
            "courseName": "[Learn Later] Artificial Intelligence Management System Awareness for All (GR 5-10) by GRC (English)",
            "progress": 100.00,
            "score": 90.00,
            "status": 3,
            "dateCompleted": "2026-07-09T03:06:22.48",
            "dateExpires": null,
            "fullName": "Kimura Sorashi",
            "jobTitle": "Principal Software Engineer",
            "courseVersionId": null,
            "userId": "f1d1e049-9608-4126-a17b-0ba3c5aec7d1",
            "acceptedTermsAndConditions": false,
            "timeSpent": "00:04:50.1157854",
            "dateStarted": "2026-07-09T02:58:48.17",
            "enrollmentKeyId": null,
            "certificateId": "8c914ddb-ec3b-4d68-bd40-504e0cb8fb7e",
            "credits": null,
            "isActive": true,
            "dateDue": null,
            "dateEdited": "2026-07-09T03:06:22.5966667",
            "dateAdded": "2026-07-09T02:58:49.3166667"
        },
        {
            "id": "16f18302-248b-4c34-81dc-54b2f11b21aa",
            "courseId": "2d55e35c-0e7e-45bb-ab40-8cee7785b1c3",
            "courseName": "[Learn Later] Artificial Intelligence Management System Awareness for All (GR 5-10) by GRC (English)",
            "progress": 93.33,
            "score": 80.00,
            "status": 7,
            "dateCompleted": null,
            "dateExpires": null,
            "fullName": "Kuchipudi Krishna Bhargav",
            "jobTitle": "Senior SAP Tech Consultant",
            "courseVersionId": null,
            "userId": "9ff1654b-ab2c-4efe-a68a-7fb58f363dc7",
            "acceptedTermsAndConditions": false,
            "timeSpent": "00:08:08.9673688",
            "dateStarted": "2026-06-30T02:50:49.93",
            "enrollmentKeyId": null,
            "certificateId": null,
            "credits": null,
            "isActive": true,
            "dateDue": null,
            "dateEdited": "2026-06-30T12:05:18.0066667",
            "dateAdded": "2026-06-30T02:50:50.3666667"
        }
    ]
}</t>
  </si>
  <si>
    <t>{
    "items": [
        {
            "taxonomySkillId": 97915,
            "externalId": null,
            "domain": {
                "id": 429,
                "name": "Information Technology"
            },
            "subdomain": {
                "id": 2155,
                "name": "Information Technology"
            },
            "skillCluster": {
                "id": 17191,
                "name": "Media Production"
            },
            "skillClassification": {
                "classificationId": 507,
                "classificationName": "Tool"
            },
            "skill": {
                "id": 93285,
                "name": "Adobe Flash",
                "description": "Adobe Flash is a software platform used for creating interactive multimedia content, animations, and games for the web. It is often used to create vector-based animations and graphics, as well as audio and video content. Flash requires specialized knowledge and skills to use effectively, including knowledge of programming languages such as ActionScript. However, Flash has been largely replaced by newer technologies like HTML5 and CSS3, as it has become less popular due to security and compatibility issues."
            },
            "displayName": "Adobe Flash",
            "description": "Adobe Flash is a software platform used for creating interactive multimedia content, animations, and games for the web. It is often used to create vector-based animations and graphics, as well as audio and video content. Flash requires specialized knowledge and skills to use effectively, including knowledge of programming languages such as ActionScript. However, Flash has been largely replaced by newer technologies like HTML5 and CSS3, as it has become less popular due to security and compatibility issues.",
            "isCritical": true,
            "taxonomySkillTags": [],
            "skillRubrics": null
        },
        {
            "taxonomySkillId": 98916,
            "externalId": null,
            "domain": {
                "id": 429,
                "name": "Information Technology"
            },
            "subdomain": {
                "id": 2155,
                "name": "Information Technology"
            },
            "skillCluster": {
                "id": 17332,
                "name": "Integrated Development Environments (IDEs)"
            },
            "skillClassification": {
                "classificationId": 507,
                "classificationName": "Tool"
            },
            "skill": {
                "id": 93734,
                "name": "Adobe Flash Builder",
                "description": "Adobe Flash Builder is a software application used for creating Rich Internet Applications (RIAs) and cross-platform mobile applications using Adobe Flex framework. It is used to build, debug, and deploy interactive and engaging applications for web, desktop, and mobile platforms. The software is commonly used for developing games, data visualization tools, and enterprise-level business applications. To use Adobe Flash Builder, proficiency in programming languages such as ActionScript, HTML, CSS, and JavaScript may be required."
            },
            "displayName": "Adobe Flash Builder",
            "description": "Adobe Flash Builder is a software application used for creating Rich Internet Applications (RIAs) and cross-platform mobile applications using Adobe Flex framework. It is used to build, debug, and deploy interactive and engaging applications for web, desktop, and mobile platforms. The software is commonly used for developing games, data visualization tools, and enterprise-level business applications. To use Adobe Flash Builder, proficiency in programming languages such as ActionScript, HTML, CSS, and JavaScript may be required.",
            "isCritical": true,
            "taxonomySkillTags": [],
            "skillRubrics": null
        },
        {
            "taxonomySkillId": 98917,
            "externalId": null,
            "domain": {
                "id": 429,
                "name": "Information Technology"
            },
            "subdomain": {
                "id": 2155,
                "name": "Information Technology"
            },
            "skillCluster": {
                "id": 17306,
                "name": "Web Content"
            },
            "skillClassification": {
                "classificationId": 507,
                "classificationName": "Tool"
            },
            "skill": {
                "id": 93735,
                "name": "Adobe Flash Player",
                "description": "Adobe Flash Player is a software application used for playing multimedia files, such as videos, animations, and interactive content, on web browsers. It was widely used before but is now gradually being phased out due to security concerns and the shift to newer web technologies like HTML5. However, it is still used in some older websites and applications and may require specialized skills to troubleshoot or update."
            },
            "displayName": "Adobe Flash Player",
            "description": "Adobe Flash Player is a software application used for playing multimedia files, such as videos, animations, and interactive content, on web browsers. It was widely used before but is now gradually being phased out due to security concerns and the shift to newer web technologies like HTML5. However, it is still used in some older websites and applications and may require specialized skills to troubleshoot or update.",
            "isCritical": true,
            "taxonomySkillTags": [],
            "skillRubrics": null
        }
    ],
    "pageNumber": 100,
    "totalPages": 5894,
    "totalCount": 17681,
    "hasPreviousPage": true,
    "hasNextPage": true
}</t>
  </si>
  <si>
    <t>{
    "items": [
        {
            "employeeId": 478624,
            "externalEmployeeId": "00385358",
            "email": "KornkanokC@fpt.com",
            "fullName": "Chindaprasert Kornkanok",
            "skills": []
        },
        {
            "employeeId": 478635,
            "externalEmployeeId": "00385292",
            "email": "LocND31@fpt.com",
            "fullName": "Nguyen Dinh Loc",
            "skills": [
                {
                    "skill": {
                        "skillId": 100628,
                        "skillName": "AI Agent",
                        "taxonomySkillExternalId": null,
                        "modifiedOn": "2026-07-23T06:23:23.623",
                        "skillClassification": {
                            "classificationId": 504,
                            "classificationName": "Technical Skill"
                        }
                    },
                    "selfValidationScore": 3,
                    "iMochaValidationScore": null,
                    "managerValidationScore": null,
                    "weightedProficiencyScore": 3.00,
                    "multiRaterValidationScore": null,
                    "weightedAIInferenceScore": null,
                    "experienceInMonths": null,
                    "aiInferredRatings": [],
                    "isJobProfileSkill": false,
                    "skillPriorirty": null,
                    "skillRequiredProficiency": 4,
                    "skillGapInPercentage": 25
                },
                {
                    "skill": {
                        "skillId": 605302,
                        "skillName": "Ai Architecture Design",
                        "taxonomySkillExternalId": null,
                        "modifiedOn": "2026-07-23T06:23:23.623",
                        "skillClassification": {
                            "classificationId": 504,
                            "classificationName": "Technical Skill"
                        }
                    },
                    "selfValidationScore": 2,
                    "iMochaValidationScore": null,
                    "managerValidationScore": null,
                    "weightedProficiencyScore": 2.00,
                    "multiRaterValidationScore": null,
                    "weightedAIInferenceScore": null,
                    "experienceInMonths": null,
                    "aiInferredRatings": [],
                    "isJobProfileSkill": false,
                    "skillPriorirty": null,
                    "skillRequiredProficiency": 4,
                    "skillGapInPercentage": 50
                },
                {
                    "skill": {
                        "skillId": 605818,
                        "skillName": "Ai And Language Model Integration",
                        "taxonomySkillExternalId": null,
                        "modifiedOn": "2026-07-23T06:23:23.623",
                        "skillClassification": {
                            "classificationId": 504,
                            "classificationName": "Technical Skill"
                        }
                    },
                    "selfValidationScore": 4,
                    "iMochaValidationScore": null,
                    "managerValidationScore": null,
                    "weightedProficiencyScore": 4.00,
                    "multiRaterValidationScore": null,
                    "weightedAIInferenceScore": null,
                    "experienceInMonths": null,
                    "aiInferredRatings": [],
                    "isJobProfileSkill": false,
                    "skillPriorirty": null,
                    "skillRequiredProficiency": 4,
                    "skillGapInPercentage": 0
                },
                {
                    "skill": {
                        "skillId": 606055,
                        "skillName": "AI &amp; Social Media Marketing",
                        "taxonomySkillExternalId": null,
                        "modifiedOn": "2026-07-23T06:23:23.623",
                        "skillClassification": {
                            "classificationId": 505,
                            "classificationName": "Functional Skill"
                        }
                    },
                    "selfValidationScore": 3,
                    "iMochaValidationScore": null,
                    "managerValidationScore": null,
                    "weightedProficiencyScore": 3.00,
                    "multiRaterValidationScore": null,
                    "weightedAIInferenceScore": null,
                    "experienceInMonths": null,
                    "aiInferredRatings": [],
                    "isJobProfileSkill": false,
                    "skillPriorirty": null,
                    "skillRequiredProficiency": 4,
                    "skillGapInPercentage": 25
                },
                {
                    "skill": {
                        "skillId": 606057,
                        "skillName": "AI consulting",
                        "taxonomySkillExternalId": null,
                        "modifiedOn": "2026-07-23T06:23:23.623",
                        "skillClassification": {
                            "classificationId": 505,
                            "classificationName": "Functional Skill"
                        }
                    },
                    "selfValidationScore": 3,
                    "iMochaValidationScore": null,
                    "managerValidationScore": null,
                    "weightedProficiencyScore": 3.00,
                    "multiRaterValidationScore": null,
                    "weightedAIInferenceScore": null,
                    "experienceInMonths": null,
                    "aiInferredRatings": [],
                    "isJobProfileSkill": false,
                    "skillPriorirty": null,
                    "skillRequiredProficiency": 4,
                    "skillGapInPercentage": 25
                },
                {
                    "skill": {
                        "skillId": 629694,
                        "skillName": "AI and Computing Application",
                        "taxonomySkillExternalId": null,
                        "modifiedOn": "2026-07-23T06:23:23.623",
                        "skillClassification": {
                            "classificationId": 504,
                            "classificationName": "Technical Skill"
                        }
                    },
                    "selfValidationScore": 3,
                    "iMochaValidationScore": null,
                    "managerValidationScore": null,
                    "weightedProficiencyScore": 3.00,
                    "multiRaterValidationScore": null,
                    "weightedAIInferenceScore": null,
                    "experienceInMonths": null,
                    "aiInferredRatings": [],
                    "isJobProfileSkill": false,
                    "skillPriorirty": null,
                    "skillRequiredProficiency": 4,
                    "skillGapInPercentage": 25
                },
                {
                    "skill": {
                        "skillId": 629695,
                        "skillName": "AI and Machine Learning Application",
                        "taxonomySkillExternalId": null,
                        "modifiedOn": "2026-07-23T06:23:23.623",
                        "skillClassification": {
                            "classificationId": 504,
                            "classificationName": "Technical Skill"
                        }
                    },
                    "selfValidationScore": 3,
                    "iMochaValidationScore": null,
                    "managerValidationScore": null,
                    "weightedProficiencyScore": 3.00,
                    "multiRaterValidationScore": null,
                    "weightedAIInferenceScore": null,
                    "experienceInMonths": null,
                    "aiInferredRatings": [],
                    "isJobProfileSkill": false,
                    "skillPriorirty": null,
                    "skillRequiredProficiency": 4,
                    "skillGapInPercentage": 25
                },
                {
                    "skill": {
                        "skillId": 630449,
                        "skillName": "AI Application in Bug/Requirement Analysis",
                        "taxonomySkillExternalId": null,
                        "modifiedOn": "2026-07-23T06:23:23.623",
                        "skillClassification": {
                            "classificationId": 504,
                            "classificationName": "Technical Skill"
                        }
                    },
                    "selfValidationScore": 2,
                    "iMochaValidationScore": null,
                    "managerValidationScore": null,
                    "weightedProficiencyScore": 2.00,
                    "multiRaterValidationScore": null,
                    "weightedAIInferenceScore": null,
                    "experienceInMonths": null,
                    "aiInferredRatings": [],
                    "isJobProfileSkill": false,
                    "skillPriorirty": null,
                    "skillRequiredProficiency": 4,
                    "skillGapInPercentage": 50
                },
                {
                    "skill": {
                        "skillId": 705707,
                        "skillName": "AI Agent Design",
                        "taxonomySkillExternalId": null,
                        "modifiedOn": "2026-07-23T06:23:23.623",
                        "skillClassification": {
                            "classificationId": 995,
                            "classificationName": "AI Skill"
                        }
                    },
                    "selfValidationScore": 3,
                    "iMochaValidationScore": null,
                    "managerValidationScore": null,
                    "weightedProficiencyScore": 3.00,
                    "multiRaterValidationScore": null,
                    "weightedAIInferenceScore": null,
                    "experienceInMonths": null,
                    "aiInferredRatings": [],
                    "isJobProfileSkill": false,
                    "skillPriorirty": null,
                    "skillRequiredProficiency": 4,
                    "skillGapInPercentage": 25
                }
            ]
        },
        {
            "employeeId": 478640,
            "externalEmployeeId": "00223406",
            "email": "LocVD1@fpt.com",
            "fullName": "Vuong Danh Loc",
            "skills": [
                {
                    "skill": {
                        "skillId": 93616,
                        "skillName": "React.js Front‑End Development",
                        "taxonomySkillExternalId": null,
                        "modifiedOn": "2026-07-28T04:17:12.447",
                        "skillClassification": {
                            "classificationId": 507,
                            "classificationName": "Tool"
                        }
                    },
                    "selfValidationScore": 3,
                    "iMochaValidationScore": null,
                    "managerValidationScore": null,
                    "weightedProficiencyScore": 3.00,
                    "multiRaterValidationScore": null,
                    "weightedAIInferenceScore": null,
                    "experienceInMonths": null,
                    "aiInferredRatings": [],
                    "isJobProfileSkill": false,
                    "skillPriorirty": null,
                    "skillRequiredProficiency": 4,
                    "skillGapInPercentage": 25
                },
                {
                    "skill": {
                        "skillId": 95007,
                        "skillName": "React Redux",
                        "taxonomySkillExternalId": null,
                        "modifiedOn": "2026-07-28T04:17:12.447",
                        "skillClassification": {
                            "classificationId": 504,
                            "classificationName": "Technical Skill"
                        }
                    },
                    "selfValidationScore": 2,
                    "iMochaValidationScore": null,
                    "managerValidationScore": null,
                    "weightedProficiencyScore": 2.00,
                    "multiRaterValidationScore": null,
                    "weightedAIInferenceScore": null,
                    "experienceInMonths": null,
                    "aiInferredRatings": [],
                    "isJobProfileSkill": false,
                    "skillPriorirty": null,
                    "skillRequiredProficiency": 4,
                    "skillGapInPercentage": 50
                },
                {
                    "skill": {
                        "skillId": 99986,
                        "skillName": "Create React App",
                        "taxonomySkillExternalId": null,
                        "modifiedOn": "2026-07-28T04:17:12.447",
                        "skillClassification": {
                            "classificationId": 507,
                            "classificationName": "Tool"
                        }
                    },
                    "selfValidationScore": 2,
                    "iMochaValidationScore": null,
                    "managerValidationScore": null,
                    "weightedProficiencyScore": 2.00,
                    "multiRaterValidationScore": null,
                    "weightedAIInferenceScore": null,
                    "experienceInMonths": null,
                    "aiInferredRatings": [],
                    "isJobProfileSkill": false,
                    "skillPriorirty": null,
                    "skillRequiredProficiency": 4,
                    "skillGapInPercentage": 50
                },
                {
                    "skill": {
                        "skillId": 186519,
                        "skillName": "React Router Library",
                        "taxonomySkillExternalId": null,
                        "modifiedOn": "2026-07-28T04:17:12.447",
                        "skillClassification": {
                            "classificationId": 504,
                            "classificationName": "Technical Skill"
                        }
                    },
                    "selfValidationScore": 2,
                    "iMochaValidationScore": null,
                    "managerValidationScore": null,
                    "weightedProficiencyScore": 2.00,
                    "multiRaterValidationScore": null,
                    "weightedAIInferenceScore": null,
                    "experienceInMonths": null,
                    "aiInferredRatings": [],
                    "isJobProfileSkill": false,
                    "skillPriorirty": null,
                    "skillRequiredProficiency": 4,
                    "skillGapInPercentage": 50
                },
                {
                    "skill": {
                        "skillId": 186593,
                        "skillName": "React Context API",
                        "taxonomySkillExternalId": null,
                        "modifiedOn": "2026-07-28T04:17:12.447",
                        "skillClassification": {
                            "classificationId": 504,
                            "classificationName": "Technical Skill"
                        }
                    },
                    "selfValidationScore": 2,
                    "iMochaValidationScore": null,
                    "managerValidationScore": null,
                    "weightedProficiencyScore": 2.00,
                    "multiRaterValidationScore": null,
                    "weightedAIInferenceScore": null,
                    "experienceInMonths": null,
                    "aiInferredRatings": [],
                    "isJobProfileSkill": false,
                    "skillPriorirty": null,
                    "skillRequiredProficiency": 4,
                    "skillGapInPercentage": 50
                },
                {
                    "skill": {
                        "skillId": 186594,
                        "skillName": "React Query",
                        "taxonomySkillExternalId": null,
                        "modifiedOn": "2026-07-28T04:17:12.447",
                        "skillClassification": {
                            "classificationId": 504,
                            "classificationName": "Technical Skill"
                        }
                    },
                    "selfValidationScore": 2,
                    "iMochaValidationScore": null,
                    "managerValidationScore": null,
                    "weightedProficiencyScore": 2.00,
                    "multiRaterValidationScore": null,
                    "weightedAIInferenceScore": null,
                    "experienceInMonths": null,
                    "aiInferredRatings": [],
                    "isJobProfileSkill": false,
                    "skillPriorirty": null,
                    "skillRequiredProficiency": 4,
                    "skillGapInPercentage": 50
                },
                {
                    "skill": {
                        "skillId": 186753,
                        "skillName": "React Hooks",
                        "taxonomySkillExternalId": null,
                        "modifiedOn": "2026-07-28T04:17:12.447",
                        "skillClassification": {
                            "classificationId": 504,
                            "classificationName": "Technical Skill"
                        }
                    },
                    "selfValidationScore": 3,
                    "iMochaValidationScore": null,
                    "managerValidationScore": null,
                    "weightedProficiencyScore": 3.00,
                    "multiRaterValidationScore": null,
                    "weightedAIInferenceScore": null,
                    "experienceInMonths": null,
                    "aiInferredRatings": [],
                    "isJobProfileSkill": false,
                    "skillPriorirty": null,
                    "skillRequiredProficiency": 4,
                    "skillGapInPercentage": 25
                },
                {
                    "skill": {
                        "skillId": 607052,
                        "skillName": "React 18",
                        "taxonomySkillExternalId": null,
                        "modifiedOn": "2026-07-28T04:17:12.447",
                        "skillClassification": {
                            "classificationId": 504,
                            "classificationName": "Technical Skill"
                        }
                    },
                    "selfValidationScore": 3,
                    "iMochaValidationScore": null,
                    "managerValidationScore": null,
                    "weightedProficiencyScore": 3.00,
                    "multiRaterValidationScore": null,
                    "weightedAIInferenceScore": null,
                    "experienceInMonths": null,
                    "aiInferredRatings": [],
                    "isJobProfileSkill": false,
                    "skillPriorirty": null,
                    "skillRequiredProficiency": 4,
                    "skillGapInPercentage": 25
                },
                {
                    "skill": {
                        "skillId": 607053,
                        "skillName": "React 19",
                        "taxonomySkillExternalId": null,
                        "modifiedOn": "2026-07-28T04:17:12.447",
                        "skillClassification": {
                            "classificationId": 504,
                            "classificationName": "Technical Skill"
                        }
                    },
                    "selfValidationScore": 3,
                    "iMochaValidationScore": null,
                    "managerValidationScore": null,
                    "weightedProficiencyScore": 3.00,
                    "multiRaterValidationScore": null,
                    "weightedAIInferenceScore": null,
                    "experienceInMonths": null,
                    "aiInferredRatings": [],
                    "isJobProfileSkill": false,
                    "skillPriorirty": null,
                    "skillRequiredProficiency": 4,
                    "skillGapInPercentage": 25
                },
                {
                    "skill": {
                        "skillId": 94608,
                        "skillName": "React Jsx",
                        "taxonomySkillExternalId": null,
                        "modifiedOn": "2026-07-28T04:17:12.447",
                        "skillClassification": {
                            "classificationId": 504,
                            "classificationName": "Technical Skill"
                        }
                    },
                    "selfValidationScore": 3,
                    "iMochaValidationScore": null,
                    "managerValidationScore": null,
                    "weightedProficiencyScore": 3.00,
                    "multiRaterValidationScore": null,
                    "weightedAIInferenceScore": null,
                    "experienceInMonths": null,
                    "aiInferredRatings": [],
                    "isJobProfileSkill": false,
                    "skillPriorirty": null,
                    "skillRequiredProficiency": 4,
                    "skillGapInPercentage": 25
                },
                {
                    "skill": {
                        "skillId": 186615,
                        "skillName": "React Fiber Architecture Design",
                        "taxonomySkillExternalId": null,
                        "modifiedOn": "2026-07-28T04:17:12.447",
                        "skillClassification": {
                            "classificationId": 504,
                            "classificationName": "Technical Skill"
                        }
                    },
                    "selfValidationScore": 2,
                    "iMochaValidationScore": null,
                    "managerValidationScore": null,
                    "weightedProficiencyScore": 2.00,
                    "multiRaterValidationScore": null,
                    "weightedAIInferenceScore": null,
                    "experienceInMonths": null,
                    "aiInferredRatings": [],
                    "isJobProfileSkill": false,
                    "skillPriorirty": null,
                    "skillRequiredProficiency": 4,
                    "skillGapInPercentage": 50
                },
                {
                    "skill": {
                        "skillId": 705923,
                        "skillName": "React Application Debugging",
                        "taxonomySkillExternalId": null,
                        "modifiedOn": "2026-07-28T04:17:12.447",
                        "skillClassification": {
                            "classificationId": 504,
                            "classificationName": "Technical Skill"
                        }
                    },
                    "selfValidationScore": 3,
                    "iMochaValidationScore": null,
                    "managerValidationScore": null,
                    "weightedProficiencyScore": 3.00,
                    "multiRaterValidationScore": null,
                    "weightedAIInferenceScore": null,
                    "experienceInMonths": null,
                    "aiInferredRatings": [],
                    "isJobProfileSkill": false,
                    "skillPriorirty": null,
                    "skillRequiredProficiency": 4,
                    "skillGapInPercentage": 25
                },
                {
                    "skill": {
                        "skillId": 706313,
                        "skillName": "React Component Lifecycle Management",
                        "taxonomySkillExternalId": null,
                        "modifiedOn": "2026-07-28T04:17:12.447",
                        "skillClassification": {
                            "classificationId": 504,
                            "classificationName": "Technical Skill"
                        }
                    },
                    "selfValidationScore": 3,
                    "iMochaValidationScore": null,
                    "managerValidationScore": null,
                    "weightedProficiencyScore": 3.00,
                    "multiRaterValidationScore": null,
                    "weightedAIInferenceScore": null,
                    "experienceInMonths": null,
                    "aiInferredRatings": [],
                    "isJobProfileSkill": false,
                    "skillPriorirty": null,
                    "skillRequiredProficiency": 4,
                    "skillGapInPercentage": 25
                },
                {
                    "skill": {
                        "skillId": 706314,
                        "skillName": "React Application Setup",
                        "taxonomySkillExternalId": null,
                        "modifiedOn": "2026-07-28T04:17:12.447",
                        "skillClassification": {
                            "classificationId": 504,
                            "classificationName": "Technical Skill"
                        }
                    },
                    "selfValidationScore": 2,
                    "iMochaValidationScore": null,
                    "managerValidationScore": null,
                    "weightedProficiencyScore": 2.00,
                    "multiRaterValidationScore": null,
                    "weightedAIInferenceScore": null,
                    "experienceInMonths": null,
                    "aiInferredRatings": [],
                    "isJobProfileSkill": false,
                    "skillPriorirty": null,
                    "skillRequiredProficiency": 4,
                    "skillGapInPercentage": 50
                }
            ]
        }
    ],
    "pageNumber": 100,
    "totalPages": 13809,
    "totalCount": 41426,
    "hasPreviousPage": true,
    "hasNextPage": true
}</t>
  </si>
  <si>
    <t>{
    "reports": [
        {
            "candidateFullName": "Le Thi Thuy Trang",
            "status": "Complete",
            "appearedOn": "2026-08-20T08:00:47.39",
            "testInvitationId": 13898820,
            "testId": 1346106,
            "candidateEmail": "TrangLTT16@fpt.com",
            "completedOn": "2026-08-20T08:10:38.083",
            "score": 20.0,
            "candidatePoints": 20.0,
            "totalTestPoints": 20.0,
            "scorePercentage": 100.0,
            "timeTaken": 567,
            "testDuration": 30,
            "performanceCategory": "Passed",
            "testName": "Flezi-E1 Level 2- Soft Skill Pre-Assessment",
            "pdfReportUrl": "https://app.imocha.io/PDFReport?id=Cv86adkCoES4U%2fXi%2fCmk0w%3d%3d&amp;baseimage=1",
            "sections": [
                {
                    "sectionID": 2259754,
                    "sectionName": "Design thinking",
                    "noOfQue": 5,
                    "sectionTime": 7,
                    "sectionTimeTaken": 156,
                    "candidateScore": 5.0,
                    "sectionScore": 5.0,
                    "negativeMark": 0.0,
                    "correctQuestions": 5,
                    "wrongQuestions": 0,
                    "skippedQuestions": 0,
                    "notAnsweredQuestions": 0
                },
                {
                    "sectionID": 2259755,
                    "sectionName": "Decision Making",
                    "noOfQue": 5,
                    "sectionTime": 8,
                    "sectionTimeTaken": 164,
                    "candidateScore": 5.0,
                    "sectionScore": 5.0,
                    "negativeMark": 0.0,
                    "correctQuestions": 5,
                    "wrongQuestions": 0,
                    "skippedQuestions": 0,
                    "notAnsweredQuestions": 0
                },
                {
                    "sectionID": 2259756,
                    "sectionName": "Problem Solving",
                    "noOfQue": 5,
                    "sectionTime": 7,
                    "sectionTimeTaken": 129,
                    "candidateScore": 5.0,
                    "sectionScore": 5.0,
                    "negativeMark": 0.0,
                    "correctQuestions": 5,
                    "wrongQuestions": 0,
                    "skippedQuestions": 0,
                    "notAnsweredQuestions": 0
                },
                {
                    "sectionID": 2259816,
                    "sectionName": "Critical thinking",
                    "noOfQue": 5,
                    "sectionTime": 8,
                    "sectionTimeTaken": 118,
                    "candidateScore": 5.0,
                    "sectionScore": 5.0,
                    "negativeMark": 0.0,
                    "correctQuestions": 5,
                    "wrongQuestions": 0,
                    "skippedQuestions": 0,
                    "notAnsweredQuestions": 0
                }
            ]
        },
        {
            "candidateFullName": "Nguyen Nhat Anh",
            "status": "Complete",
            "appearedOn": "2026-08-20T08:00:41.43",
            "testInvitationId": 13898826,
            "testId": 1346106,
            "candidateEmail": "AnhNN20@fpt.com",
            "completedOn": "2026-08-20T08:12:05.453",
            "score": 19.0,
            "candidatePoints": 19.0,
            "totalTestPoints": 20.0,
            "scorePercentage": 95.0,
            "timeTaken": 656,
            "testDuration": 30,
            "performanceCategory": "Passed",
            "testName": "Flezi-E1 Level 2- Soft Skill Pre-Assessment",
            "pdfReportUrl": "https://app.imocha.io/PDFReport?id=wJ5KLtWepm51s2GSQ1tKJg%3d%3d&amp;baseimage=1",
            "sections": [
                {
                    "sectionID": 2259754,
                    "sectionName": "Design thinking",
                    "noOfQue": 5,
                    "sectionTime": 7,
                    "sectionTimeTaken": 140,
                    "candidateScore": 5.0,
                    "sectionScore": 5.0,
                    "negativeMark": 0.0,
                    "correctQuestions": 5,
                    "wrongQuestions": 0,
                    "skippedQuestions": 0,
                    "notAnsweredQuestions": 0
                },
                {
                    "sectionID": 2259755,
                    "sectionName": "Decision Making",
                    "noOfQue": 5,
                    "sectionTime": 8,
                    "sectionTimeTaken": 122,
                    "candidateScore": 4.0,
                    "sectionScore": 5.0,
                    "negativeMark": 0.0,
                    "correctQuestions": 4,
                    "wrongQuestions": 1,
                    "skippedQuestions": 0,
                    "notAnsweredQuestions": 0
                },
                {
                    "sectionID": 2259756,
                    "sectionName": "Problem Solving",
                    "noOfQue": 5,
                    "sectionTime": 7,
                    "sectionTimeTaken": 104,
                    "candidateScore": 5.0,
                    "sectionScore": 5.0,
                    "negativeMark": 0.0,
                    "correctQuestions": 5,
                    "wrongQuestions": 0,
                    "skippedQuestions": 0,
                    "notAnsweredQuestions": 0
                },
                {
                    "sectionID": 2259816,
                    "sectionName": "Critical thinking",
                    "noOfQue": 5,
                    "sectionTime": 8,
                    "sectionTimeTaken": 290,
                    "candidateScore": 5.0,
                    "sectionScore": 5.0,
                    "negativeMark": 0.0,
                    "correctQuestions": 5,
                    "wrongQuestions": 0,
                    "skippedQuestions": 0,
                    "notAnsweredQuestions": 0
                }
            ]
        },
        {
            "candidateFullName": "Nguyen Van Son",
            "status": "Complete",
            "appearedOn": "2026-08-20T07:59:49.393",
            "testInvitationId": 13898809,
            "testId": 1318369,
            "candidateEmail": "SonNV81@fpt.com",
            "completedOn": "2026-08-20T09:19:52.82",
            "score": 27.63,
            "candidatePoints": 27.63,
            "totalTestPoints": 40.0,
            "scorePercentage": 69.0,
            "timeTaken": 4765,
            "testDuration": 120,
            "performanceCategory": "Experienced",
            "testName": "Post assessment - Flezi Engineering Core for Dev Level 1",
            "pdfReportUrl": "https://app.imocha.io/PDFReport?id=b1d9Y6lKU8AwEao3yqR46A%3d%3d&amp;baseimage=1",
            "sections": [
                {
                    "sectionID": 2158056,
                    "sectionName": "Prompt Engineering",
                    "noOfQue": 5,
                    "sectionTime": 60,
                    "sectionTimeTaken": 2292,
                    "candidateScore": 7.63,
                    "sectionScore": 10.0,
                    "negativeMark": 0.0,
                    "correctQuestions": 5,
                    "wrongQuestions": 0,
                    "skippedQuestions": 0,
                    "notAnsweredQuestions": 0
                },
                {
                    "sectionID": 2158429,
                    "sectionName": "AI in SDLC",
                    "noOfQue": 30,
                    "sectionTime": 60,
                    "sectionTimeTaken": 2473,
                    "candidateScore": 20.0,
                    "sectionScore": 30.0,
                    "negativeMark": 0.0,
                    "correctQuestions": 20,
                    "wrongQuestions": 10,
                    "skippedQuestions": 0,
                    "notAnsweredQuestions": 0
                }
            ]
        }
    ],
    "pageNumber": 100,
    "totalPages": 105766,
    "totalCount": 317296,
    "hasPreviousPage": true,
    "hasNextPage": true
}</t>
  </si>
  <si>
    <t xml:space="preserve">{
    "paging": {
        "start": 13097,
        "count": 3,
        "links": [
            {
                "type": "application/json",
                "rel": "prev",
                "href": "/v2/learningAssets?assetFilteringCriteria.assetTypes[0]=COURSE&amp;assetFilteringCriteria.licensedOnly=true&amp;assetRetrievalCriteria.expandDepth=1&amp;assetRetrievalCriteria.includeRetired=false&amp;count=3&amp;q=criteria&amp;start=13094"
            },
            {
                "type": "application/json",
                "rel": "next",
                "href": "/v2/learningAssets?assetFilteringCriteria.assetTypes[0]=COURSE&amp;assetFilteringCriteria.licensedOnly=true&amp;assetRetrievalCriteria.expandDepth=1&amp;assetRetrievalCriteria.includeRetired=false&amp;count=3&amp;q=criteria&amp;start=13100"
            }
        ],
        "total": 26194
    },
    "metadata": {},
    "elements": [
        {
            "urn": "urn:li:lyndaCourse:5901172",
            "details": {
                "images": {
                    "primary": "https://media.licdn.com/dms/image/v2/D4D0DAQFRjGhhR_Lc3Q/learning-public-crop_288_512/learning-public-crop_288_512/0/1724090299049?e=2147483647&amp;v=beta&amp;t=K3eLWyeA1H0On8qr5mXZeorpdpZu0Q55WPGeTv9AV8A"
                },
                "descriptionIncludingHtml": {
                    "locale": {
                        "country": "JP",
                        "language": "ja"
                    },
                    "value": "ビジネスやマーケットの急速な発展によって販売プロセスや営業の環境は変化しており、営業担当者には高い対人スキルが求められるようになっています。こうした状況で営業力を向上させるためには、共感力を持って相手の立場を理解し、有意義な関係性を築いていくことが大切です。このコースでは営業に携わるすべての人を対象に、顧客と効果的にコミュニケーションをとり、良い関係を築き、成約に繋げるための共感力の高め方について解説します。共感が営業において重要である理由や、営業成績を向上させるためのステップ、顧客と長期的な関係を築く方法などを説明します。また共感の習慣を取り入れるコツや共感を妨げる要因を取り除く方法も紹介します。"
                },
                "lastUpdatedAt": 1772100626075,
                "publishedAt": 1725321600000,
                "level": "INTERMEDIATE",
                "discoverableBy": [
                    {
                        "accessor": {
                            "name": {
                                "locale": {
                                    "country": "US",
                                    "language": "en"
                                },
                                "value": "Access is open to all."
                            },
                            "urn": "urn:li:labeledLearningContentAccessGroup:PUBLIC"
                        }
                    }
                ],
                "description": {
                    "locale": {
                        "country": "JP",
                        "language": "ja"
                    },
                    "value": "ビジネスやマーケットの急速な発展によって販売プロセスや営業の環境は変化しており、営業担当者には高い対人スキルが求められるようになっています。こうした状況で営業力を向上させるためには、共感力を持って相手の立場を理解し、有意義な関係性を築いていくことが大切です。このコースでは営業に携わるすべての人を対象に、顧客と効果的にコミュニケーションをとり、良い関係を築き、成約に繋げるための共感力の高め方について解説します。共感が営業において重要である理由や、営業成績を向上させるためのステップ、顧客と長期的な関係を築く方法などを説明します。また共感の習慣を取り入れるコツや共感を妨げる要因を取り除く方法も紹介します。"
                },
                "shortDescription": {
                    "locale": {
                        "country": "JP",
                        "language": "ja"
                    },
                    "value": "このコースでは営業に携わるすべての人を対象に、顧客と効果的にコミュニケーションをとり、良い関係を築き、成約に繋げるための共感力の高め方について解説します。"
                },
                "availability": "AVAILABLE",
                "availableLocales": [
                    {
                        "country": "JP",
                        "language": "ja"
                    }
                ],
                "relationships": [],
                "classifications": [
                    {
                        "assigner": {
                            "urn": "urn:li:organization:1337",
                            "name": {
                                "locale": {
                                    "country": "JP",
                                    "language": "ja"
                                },
                                "value": "LinkedIn"
                            }
                        },
                        "path": [],
                        "associatedClassification": {
                            "owner": {
                                "urn": "urn:li:organization:1337",
                                "name": {
                                    "locale": {
                                        "country": "JP",
                                        "language": "ja"
                                    },
                                    "value": "LinkedIn"
                                }
                            },
                            "name": {
                                "locale": {
                                    "country": "US",
                                    "language": "en"
                                },
                                "value": "Sales"
                            },
                            "urn": "urn:li:skill:5",
                            "type": "SKILL"
                        }
                    },
                    {
                        "assigner": {
                            "urn": "urn:li:organization:1337",
                            "name": {
                                "locale": {
                                    "country": "JP",
                                    "language": "ja"
                                },
                                "value": "LinkedIn"
                            }
                        },
                        "path": [],
                        "associatedClassification": {
                            "owner": {
                                "urn": "urn:li:organization:1337",
                                "name": {
                                    "locale": {
                                        "country": "JP",
                                        "language": "ja"
                                    },
                                    "value": "LinkedIn"
                                }
                            },
                            "name": {
                                "locale": {
                                    "country": "US",
                                    "language": "en"
                                },
                                "value": "Emotional Intelligence"
                            },
                            "urn": "urn:li:skill:4222",
                            "type": "SKILL"
                        }
                    },
                    {
                        "assigner": {
                            "urn": "urn:li:organization:1337",
                            "name": {
                                "locale": {
                                    "country": "JP",
                                    "language": "ja"
                                },
                                "value": "LinkedIn"
                            }
                        },
                        "path": [
                            {
                                "owner": {
                                    "urn": "urn:li:organization:1337",
                                    "name": {
                                        "locale": {
                                            "country": "JP",
                                            "language": "ja"
                                        },
                                        "value": "LinkedIn"
                                    }
                                },
                                "name": {
                                    "locale": {
                                        "country": "JP",
                                        "language": "ja"
                                    },
                                    "value": "キャリア開発"
                                },
                                "urn": "urn:li:lyndaCategory:8997",
                                "type": "SUBJECT"
                            },
                            {
                                "owner": {
                                    "urn": "urn:li:organization:1337",
                                    "name": {
                                        "locale": {
                                            "country": "JP",
                                            "language": "ja"
                                        },
                                        "value": "LinkedIn"
                                    }
                                },
                                "name": {
                                    "locale": {
                                        "country": "JP",
                                        "language": "ja"
                                    },
                                    "value": "ビジネス"
                                },
                                "urn": "urn:li:lyndaCategory:8923",
                                "type": "LIBRARY"
                            }
                        ],
                        "associatedClassification": {
                            "owner": {
                                "urn": "urn:li:organization:1337",
                                "name": {
                                    "locale": {
                                        "country": "JP",
                                        "language": "ja"
                                    },
                                    "value": "LinkedIn"
                                }
                            },
                            "name": {
                                "locale": {
                                    "country": "JP",
                                    "language": "ja"
                                },
                                "value": "ウェルビーイングとセルフケア"
                            },
                            "urn": "urn:li:lyndaCategory:803026",
                            "type": "TOPIC"
                        }
                    },
                    {
                        "assigner": {
                            "urn": "urn:li:organization:1337",
                            "name": {
                                "locale": {
                                    "country": "JP",
                                    "language": "ja"
                                },
                                "value": "LinkedIn"
                            }
                        },
                        "path": [
                            {
                                "owner": {
                                    "urn": "urn:li:organization:1337",
                                    "name": {
                                        "locale": {
                                            "country": "JP",
                                            "language": "ja"
                                        },
                                        "value": "LinkedIn"
                                    }
                                },
                                "name": {
                                    "locale": {
                                        "country": "JP",
                                        "language": "ja"
                                    },
                                    "value": "ビジネス"
                                },
                                "urn": "urn:li:lyndaCategory:8923",
                                "type": "LIBRARY"
                            }
                        ],
                        "associatedClassification": {
                            "owner": {
                                "urn": "urn:li:organization:1337",
                                "name": {
                                    "locale": {
                                        "country": "JP",
                                        "language": "ja"
                                    },
                                    "value": "LinkedIn"
                                }
                            },
                            "name": {
                                "locale": {
                                    "country": "JP",
                                    "language": "ja"
                                },
                                "value": "キャリア開発"
                            },
                            "urn": "urn:li:lyndaCategory:8997",
                            "type": "SUBJECT"
                        }
                    },
                    {
                        "assigner": {
                            "urn": "urn:li:organization:1337",
                            "name": {
                                "locale": {
                                    "country": "JP",
                                    "language": "ja"
                                },
                                "value": "LinkedIn"
                            }
                        },
                        "path": [],
                        "associatedClassification": {
                            "owner": {
                                "urn": "urn:li:organization:1337",
                                "name": {
                                    "locale": {
                                        "country": "JP",
                                        "language": "ja"
                                    },
                                    "value": "LinkedIn"
                                }
                            },
                            "name": {
                                "locale": {
                                    "country": "JP",
                                    "language": "ja"
                                },
                                "value": "ビジネス"
                            },
                            "urn": "urn:li:lyndaCategory:8923",
                            "type": "LIBRARY"
                        }
                    },
                    {
                        "assigner": {
                            "urn": "urn:li:organization:1337",
                            "name": {
                                "locale": {
                                    "country": "JP",
                                    "language": "ja"
                                },
                                "value": "LinkedIn"
                            }
                        },
                        "path": [
                            {
                                "owner": {
                                    "urn": "urn:li:organization:1337",
                                    "name": {
                                        "locale": {
                                            "country": "JP",
                                            "language": "ja"
                                        },
                                        "value": "LinkedIn"
                                    }
                                },
                                "name": {
                                    "locale": {
                                        "country": "JP",
                                        "language": "ja"
                                    },
                                    "value": "キャリア開発"
                                },
                                "urn": "urn:li:lyndaCategory:8997",
                                "type": "SUBJECT"
                            },
                            {
                                "owner": {
                                    "urn": "urn:li:organization:1337",
                                    "name": {
                                        "locale": {
                                            "country": "JP",
                                            "language": "ja"
                                        },
                                        "value": "LinkedIn"
                                    }
                                },
                                "name": {
                                    "locale": {
                                        "country": "JP",
                                        "language": "ja"
                                    },
                                    "value": "ビジネス"
                                },
                                "urn": "urn:li:lyndaCategory:8923",
                                "type": "LIBRARY"
                            }
                        ],
                        "associatedClassification": {
                            "owner": {
                                "urn": "urn:li:organization:1337",
                                "name": {
                                    "locale": {
                                        "country": "JP",
                                        "language": "ja"
                                    },
                                    "value": "LinkedIn"
                                }
                            },
                            "name": {
                                "locale": {
                                    "country": "JP",
                                    "language": "ja"
                                },
                                "value": "自己啓発"
                            },
                            "urn": "urn:li:lyndaCategory:11027",
                            "type": "TOPIC"
                        }
                    },
                    {
                        "assigner": {
                            "urn": "urn:li:organization:1337",
                            "name": {
                                "locale": {
                                    "country": "JP",
                                    "language": "ja"
                                },
                                "value": "LinkedIn"
                            }
                        },
                        "path": [
                            {
                                "owner": {
                                    "urn": "urn:li:organization:1337",
                                    "name": {
                                        "locale": {
                                            "country": "JP",
                                            "language": "ja"
                                        },
                                        "value": "LinkedIn"
                                    }
                                },
                                "name": {
                                    "locale": {
                                        "country": "JP",
                                        "language": "ja"
                                    },
                                    "value": "営業"
                                },
                                "urn": "urn:li:lyndaCategory:402008",
                                "type": "SUBJECT"
                            },
                            {
                                "owner": {
                                    "urn": "urn:li:organization:1337",
                                    "name": {
                                        "locale": {
                                            "country": "JP",
                                            "language": "ja"
                                        },
                                        "value": "LinkedIn"
                                    }
                                },
                                "name": {
                                    "locale": {
                                        "country": "JP",
                                        "language": "ja"
                                    },
                                    "value": "ビジネス"
                                },
                                "urn": "urn:li:lyndaCategory:8923",
                                "type": "LIBRARY"
                            }
                        ],
                        "associatedClassification": {
                            "owner": {
                                "urn": "urn:li:organization:1337",
                                "name": {
                                    "locale": {
                                        "country": "JP",
                                        "language": "ja"
                                    },
                                    "value": "LinkedIn"
                                }
                            },
                            "name": {
                                "locale": {
                                    "country": "JP",
                                    "language": "ja"
                                },
                                "value": "セールススキル"
                            },
                            "urn": "urn:li:lyndaCategory:839025",
                            "type": "TOPIC"
                        }
                    },
                    {
                        "assigner": {
                            "urn": "urn:li:organization:1337",
                            "name": {
                                "locale": {
                                    "country": "JP",
                                    "language": "ja"
                                },
                                "value": "LinkedIn"
                            }
                        },
                        "path": [
                            {
                                "owner": {
                                    "urn": "urn:li:organization:1337",
                                    "name": {
                                        "locale": {
                                            "country": "JP",
                                            "language": "ja"
                                        },
                                        "value": "LinkedIn"
                                    }
                                },
                                "name": {
                                    "locale": {
                                        "country": "JP",
                                        "language": "ja"
                                    },
                                    "value": "ビジネス"
                                },
                                "urn": "urn:li:lyndaCategory:8923",
                                "type": "LIBRARY"
                            }
                        ],
                        "associatedClassification": {
                            "owner": {
                                "urn": "urn:li:organization:1337",
                                "name": {
                                    "locale": {
                                        "country": "JP",
                                        "language": "ja"
                                    },
                                    "value": "LinkedIn"
                                }
                            },
                            "name": {
                                "locale": {
                                    "country": "JP",
                                    "language": "ja"
                                },
                                "value": "営業"
                            },
                            "urn": "urn:li:lyndaCategory:402008",
                            "type": "SUBJECT"
                        }
                    },
                    {
                        "assigner": {
                            "urn": "urn:li:organization:1337",
                            "name": {
                                "locale": {
                                    "country": "JP",
                                    "language": "ja"
                                },
                                "value": "LinkedIn"
                            }
                        },
                        "path": [
                            {
                                "owner": {
                                    "urn": "urn:li:organization:1337",
                                    "name": {
                                        "locale": {
                                            "country": "JP",
                                            "language": "ja"
                                        },
                                        "value": "LinkedIn"
                                    }
                                },
                                "name": {
                                    "locale": {
                                        "country": "JP",
                                        "language": "ja"
                                    },
                                    "value": "キャリア開発"
                                },
                                "urn": "urn:li:lyndaCategory:8997",
                                "type": "SUBJECT"
                            },
                            {
                                "owner": {
                                    "urn": "urn:li:organization:1337",
                                    "name": {
                                        "locale": {
                                            "country": "JP",
                                            "language": "ja"
                                        },
                                        "value": "LinkedIn"
                                    }
                                },
                                "name": {
                                    "locale": {
                                        "country": "JP",
                                        "language": "ja"
                                    },
                                    "value": "ビジネス"
                                },
                                "urn": "urn:li:lyndaCategory:8923",
                                "type": "LIBRARY"
                            }
                        ],
                        "associatedClassification": {
                            "owner": {
                                "urn": "urn:li:organization:1337",
                                "name": {
                                    "locale": {
                                        "country": "JP",
                                        "language": "ja"
                                    },
                                    "value": "LinkedIn"
                                }
                            },
                            "name": {
                                "locale": {
                                    "country": "JP",
                                    "language": "ja"
                                },
                                "value": "心の知能指数 (EQ)"
                            },
                            "urn": "urn:li:lyndaCategory:886006",
                            "type": "TOPIC"
                        }
                    },
                    {
                        "assigner": {
                            "urn": "urn:li:organization:1337",
                            "name": {
                                "locale": {
                                    "country": "JP",
                                    "language": "ja"
                                },
                                "value": "LinkedIn"
                            }
                        },
                        "path": [],
                        "associatedClassification": {
                            "owner": {
                                "urn": "urn:li:lyndaCredentialingAgency:1",
                                "name": {
                                    "locale": {
                                        "country": "US",
                                        "language": "en"
                                    },
                                    "value": "Project Management Institute (PMI)®"
                                }
                            },
                            "name": {
                                "locale": {
                                    "country": "JP",
                                    "language": "ja"
                                },
                                "value": "PMI"
                            },
                            "urn": "urn:li:lyndaCredentialingProgram:(urn:li:lyndaCredentialingAgency:1,1)",
                            "details": {
                                "value": {
                                    "certificationDetails": {
                                        "disciplines": [],
                                        "metric": {
                                            "name": {
                                                "locale": {
                                                    "country": "JP",
                                                    "language": "ja"
                                                },
                                                "value": "PDUs/ContactHours"
                                            },
                                            "units": 0.75
                                        }
                                    }
                                }
                            },
                            "type": "CONTINUING_EDUCATION_UNIT"
                        }
                    }
                ],
                "urls": {
                    "ssoLaunch": "https://www.linkedin.com/checkpoint/enterprise/login/441943138?pathWildcard=441943138&amp;application=learning&amp;dApp=223881748&amp;redirect=https%3A%2F%2Fwww%2Elinkedin%2Ecom%2Flearning%2Fempathy-for-sales-professionals-24601430%3FdApp%3D223881748%26leis%3DLAA%26u%3D441943138",
                    "webLaunch": "https://www.linkedin.com/learning/empathy-for-sales-professionals-24601430?dApp=223881748&amp;leis=LAA",
                    "aiccLaunch": "https://www.linkedin.com/learning/aicc?content=urn%3Ali%3AlyndaCourse%3A5901172&amp;account=urn%3Ali%3AenterpriseApplicationInstance%3A%28urn%3Ali%3AenterpriseAccount%3A441943138%2C571288810%29&amp;dApp=223881748&amp;leis=LAA"
                },
                "shortDescriptionIncludingHtml": {
                    "locale": {
                        "country": "JP",
                        "language": "ja"
                    },
                    "value": "このコースでは営業に携わるすべての人を対象に、顧客と効果的にコミュニケーションをとり、良い関係を築き、成約に繋げるための共感力の高め方について解説します。"
                },
                "contributors": [
                    {
                        "name": {
                            "locale": {
                                "country": "US",
                                "language": "en"
                            },
                            "value": "Sophie Wade"
                        },
                        "urn": "urn:li:lyndaAuthor:1993872775",
                        "contributionType": "AUTHOR",
                        "authorDetails": {
                            "lastName": {
                                "locale": {
                                    "country": "US",
                                    "language": "en"
                                },
                                "value": "Wade"
                            },
                            "firstName": {
                                "locale": {
                                    "country": "US",
                                    "language": "en"
                                },
                                "value": "Sophie"
                            }
                        }
                    }
                ],
                "timeToComplete": {
                    "duration": 2857,
                    "unit": "SECOND"
                }
            },
            "title": {
                "locale": {
                    "country": "JP",
                    "language": "ja"
                },
                "value": "営業担当者のための共感力"
            },
            "type": "COURSE",
            "contents": [
                {
                    "asset": {
                        "urn": "urn:li:lyndaChapter:(urn:li:lyndaCourse:5901172,2130097)",
                        "title": {
                            "locale": {
                                "country": "JP",
                                "language": "ja"
                            },
                            "value": "イントロダクション"
                        },
                  </t>
  </si>
  <si>
    <t>{
    "paging": {
        "start": 0,
        "count": 1000,
        "links": [],
        "total": 2
    },
    "elements": [
        {
            "latestDataAt": 1787209140000,
            "learnerDetails": {
                "name": "Hoang Dao Le",
                "enterpriseGroups": [
                    "OFFICIAL"
                ],
                "entity": {
                    "profileUrn": "urn:li:enterpriseProfile:(urn:li:enterpriseAccount:441943138,487261817)"
                },
                "email": "hoangdl3@fpt.com",
                "customAttributes": {},
                "uniqueUserId": "hoangdl3@fpt.com"
            },
            "activities": [
                {
                    "engagementType": "SECONDS_VIEWED",
                    "lastEngagedAt": 1704711420000,
                    "firstEngagedAt": 1690450533096,
                    "assetType": "COURSE",
                    "engagementMetricQualifier": "TOTAL",
                    "engagementValue": 6
                }
            ],
            "contentDetails": {
                "name": "ISO 27001:2022-Compliant Cybersecurity: Getting Started",
                "contentProviderName": "LinkedIn",
                "contentUrn": "urn:li:lyndaCourse:4405072",
                "locale": {
                    "country": "US",
                    "language": "en"
                }
            }
        },
        {
            "latestDataAt": 1787209140000,
            "learnerDetails": {
                "name": "Duy Pham Khuong",
                "enterpriseGroups": [
                    "OFFICIAL"
                ],
                "entity": {
                    "profileUrn": "urn:li:enterpriseProfile:(urn:li:enterpriseAccount:441943138,698623594)"
                },
                "email": "DuyPK20@fpt.com",
                "customAttributes": {},
                "uniqueUserId": "DuyPK20@fpt.com"
            },
            "activities": [
                {
                    "engagementType": "SECONDS_VIEWED",
                    "lastEngagedAt": 1704432180000,
                    "firstEngagedAt": 1702182248003,
                    "assetType": "COURSE",
                    "engagementMetricQualifier": "TOTAL",
                    "engagementValue": 0
                },
                {
                    "engagementType": "PROGRESS_PERCENTAGE",
                    "lastEngagedAt": 1704432180000,
                    "firstEngagedAt": 1702182248003,
                    "assetType": "COURSE",
                    "engagementMetricQualifier": "TOTAL",
                    "engagementValue": 14
                }
            ],
            "contentDetails": {
                "name": "Project Management Foundations",
                "contentProviderName": "LinkedIn",
                "contentUrn": "urn:li:lyndaCourse:2498114",
                "locale": {
                    "country": "US",
                    "language": "en"
                }
            }
        }
    ]
}</t>
  </si>
  <si>
    <t>{
    "count": 42,
    "limit": 3,
    "list": [
        {
            "ProductId": "186SM",
            "AssetType": "Topic",
            "AssetFormat": "HTML",
            "Title": "Stress Management",
            "Description": "Do you have a healthy relationship with stress? It's time to make it work for-not against-you. By understanding your boundaries, embracing positive pressure, and prioritizing your health, you can learn to deal with stress in a more productive way.",
            "URL": "https://fpt.myhbp.org/hmm12/content/stress_management/landingpage.html",
            "ImageURL": "https://hbr.org/resources/images/products/186SM_500.png",
            "Authors": "Harvard Business Publishing",
            "Duration": "70",
            "Language": "ENG",
            "PublicationDate": "2014-09-14",
            "CopyrightHolder": "Harvard ManageMentor",
            "SubjectTags": "Personal resilience;Stress management",
            "Status": "Active",
            "MajorDiscipline": "General Management",
            "Series": "",
            "Skills": "Cultivating personal agility;Cultivating resilience;Integrating work and life;Managing your energy and mental health;Sustaining high performance",
            "LastModifiedDate": "2024-05-02"
        },
        {
            "ProductId": "186TM",
            "AssetType": "Topic",
            "AssetFormat": "HTML",
            "Title": "Time Management",
            "Description": "Time management isn't about cramming more into your schedule. It's about making smarter, more purposeful choices with the hours you have. Learn how to get more of what you want from your time.",
            "URL": "https://fpt.myhbp.org/hmm12/content/time_management/landingpage.html",
            "ImageURL": "https://hbr.org/resources/images/products/186TM_500.png",
            "Authors": "Harvard Business Publishing",
            "Duration": "77",
            "Language": "ENG",
            "PublicationDate": "2016-10-19",
            "CopyrightHolder": "Harvard ManageMentor",
            "SubjectTags": "Managing yourself",
            "Status": "Active",
            "MajorDiscipline": "General Management",
            "Series": "",
            "Skills": "Cultivating personal agility;Cultivating resilience;Integrating work and life;Managing your energy and mental health;Sustaining high performance;Taking charge of your professional growth",
            "LastModifiedDate": "2024-05-02"
        },
        {
            "ProductId": "186WS",
            "AssetType": "Topic",
            "AssetFormat": "HTML",
            "Title": "Writing Skills",
            "Description": "How you communicate with others is essential to your success, so don't let your writing skills be an afterthought. Learn how to communicate clearly and concisely, connect with diverse audiences, and develop the ideas you want to share.",
            "URL": "https://fpt.myhbp.org/hmm12/content/writing_skills/landingpage.html",
            "ImageURL": "https://hbr.org/resources/images/products/186WS_500.png",
            "Authors": "Harvard Business Publishing",
            "Duration": "108",
            "Language": "ENG",
            "PublicationDate": "2014-09-14",
            "CopyrightHolder": "Harvard ManageMentor",
            "SubjectTags": "Business writing;Personal productivity",
            "Status": "Active",
            "MajorDiscipline": "General Management",
            "Series": "",
            "Skills": "Communicating virtually;Crafting strategy;Focusing on the customer;Sustaining high performance;Writing",
            "LastModifiedDate": "2024-05-02"
        }
    ],
    "start": 20
}</t>
  </si>
  <si>
    <t>{
    "count": 7,
    "limit": 3,
    "list": [
        {
            "ProductId": "186LP",
            "AssetType": "Topic",
            "AssetFormat": "HTML",
            "Title": "Leading People",
            "Description": "How can you become an effective and inspiring leader? Begin by defining your values and vision, and deepening your self-management skills. Then learn how to create the conditions for others to succeed-even when your team isn't working in the same physical space.",
            "URL": "https://fpt.myhbp.org/hmm12/content/leading_people/landingpage.html",
            "ImageURL": "https://hbr.org/resources/images/products/186LP_500.png",
            "Authors": "Harvard Business Publishing",
            "Duration": "101",
            "Language": "ENG",
            "PublicationDate": "2014-09-13",
            "CopyrightHolder": "Harvard ManageMentor",
            "SubjectTags": "Leadership",
            "Status": "Active",
            "MajorDiscipline": "Organizational Behavior",
            "Series": "",
            "Skills": "Aligning with strategy;Building authentic relationships;Communicating virtually;Cultivating belonging;Cultivating personal agility;Developing team members&amp;#x27; careers;Enabling collaboration;Facilitating cross-cultural collaboration;Fostering a learning culture;Influencing;Leading with principle;Leading with purpose;Leading with social awareness",
            "LastModifiedDate": "2026-07-24"
        },
        {
            "ProductId": "186DV",
            "AssetType": "Topic",
            "AssetFormat": "HTML",
            "Title": "Diversity, Inclusion, and Belonging",
            "Description": "As a manager, you are in a powerful position to create an environment where people can thrive, knowing that they truly belong and the differences they bring are welcome. Discover why diversity is an essential component of a successful team-and what you can do to foster inclusion and belonging in your organization.",
            "URL": "https://fpt.myhbp.org/hmm12/content/diversity/landingpage.html",
            "ImageURL": "https://hbr.org/resources/images/products/186DV_500.png",
            "Authors": "Harvard Business Publishing",
            "Duration": "122",
            "Language": "ENG",
            "PublicationDate": "2014-09-13",
            "CopyrightHolder": "Harvard ManageMentor",
            "SubjectTags": "Diversity and inclusion;Leadership qualities;Social and global issues;Talent management;Workplace discrimination",
            "Status": "Active",
            "MajorDiscipline": "Human Resource Management",
            "Series": "",
            "Skills": "Advancing your organization&amp;#x27;s inclusion efforts;Cultivating belonging;Facilitating cross-cultural collaboration;Fostering inclusion on your team;Managing talent fairly",
            "LastModifiedDate": "2026-07-24"
        },
        {
            "ProductId": "186PS",
            "AssetType": "Topic",
            "AssetFormat": "HTML",
            "Title": "Presentation Skills",
            "Description": "Effective presentations pay big dividends-for your team and your career-by inspiring, informing, or persuading your audience. By knowing how to craft a clear and compelling message, design engaging slides, and deliver with confidence, you'll give a top-notch presentation time and again.",
            "URL": "https://fpt.myhbp.org/hmm12/content/presentation_skills/landingpage.html",
            "ImageURL": "https://hbr.org/resources/images/products/186PS_500.png",
            "Authors": "Harvard Business Publishing",
            "Duration": "124",
            "Language": "ENG",
            "PublicationDate": "2014-09-13",
            "CopyrightHolder": "Harvard ManageMentor",
            "SubjectTags": "Presentation skills",
            "Status": "Active",
            "MajorDiscipline": "General Management",
            "Series": "",
            "Skills": "Building authentic relationships;Communicating virtually;Crafting strategy;Developing data intelligence;Digitalizing customer focus;Focusing on the customer;Influencing;Leading with purpose;Managing your energy and mental health;Presenting;Running meetings;Writing",
            "LastModifiedDate": "2026-07-24"
        }
    ],
    "start": 3
}</t>
  </si>
  <si>
    <t>{
    "count": 29541,
    "limit": 3,
    "list": [
        {
            "ProductId": "F1409F-PDF-ENG",
            "AssetType": "Articles",
            "AssetFormat": "PDF",
            "Title": "Getting to \"Us\"",
            "Description": "The former CEO of Kaiser Permanente on the benefits and pitfalls of activating \"us versus them\" energy.",
            "URL": "https://fpt.hbrspark.org/assets/F1409F-PDF-ENG",
            "ImageURL": "https://hbr.org/resources/images/products/CL-generic-image-hbrarticle.png",
            "Authors": "George C. Halvorson",
            "Duration": "5",
            "Language": "ENG",
            "PublicationDate": "2014-09-01",
            "CopyrightHolder": "Harvard Business Review",
            "SubjectTags": "Fostering collaboration;Leading teams;Organizational behavior;Personal goals",
            "Status": "Active",
            "MajorDiscipline": "General Management",
            "Series": "",
            "Skills": "",
            "LastModifiedDate": "2022-06-07"
        },
        {
            "ProductId": "F0410J-PDF-ENG",
            "AssetType": "Articles",
            "AssetFormat": "PDF",
            "Title": "Feedback Backlash",
            "Description": "You can overdo feedback, HR professor Alain Gosselin's field research reveals.",
            "URL": "https://fpt.hbrspark.org/assets/F0410J-PDF-ENG",
            "ImageURL": "https://hbr.org/resources/images/products/CL-generic-image-hbrarticle.png",
            "Authors": "Gardiner Morse",
            "Duration": "3",
            "Language": "ENG",
            "PublicationDate": "2004-10-01",
            "CopyrightHolder": "Harvard Business Review",
            "SubjectTags": "Career advancement;Employee performance management;Feedback;Hiring and recruitment",
            "Status": "Active",
            "MajorDiscipline": "Human Resource Management",
            "Series": "",
            "Skills": "Delivering feedback",
            "LastModifiedDate": "2022-06-07"
        },
        {
            "ProductId": "R0809C-PDF-ENG",
            "AssetType": "Articles",
            "AssetFormat": "PDF",
            "Title": "The Green Conversation",
            "Description": "For three months this spring, HBR Green hosted a six-part series of online commentary and discussion exploring best practices and new thinking in green business strategy. Leaders of the business world-including Brian Walker, CEO of Herman Miller; Judith Samuelson, an executive director at the Aspen Institute; and Stuart Rose, chief executive of Marks &amp; Spencer-asked provocative questions about how environmental issues are affecting key corporate disciplines: operations, corporate governance, marketing, ethics, leadership, and supply chain management. Featured contributors and readers from around the globe-executives of companies large and small, consultants, heads of utilities, academics-answered with robust and lively commentaries. Their contributions taught us that in marketing green products, companies must not lose sight of the basic reasons consumers buy them in the first place; that products that are green from the ground up have fundamentally different economics and markets from products that start dirty and are cleaned up by reengineered processes; that global pooling and exchange of technology are vital to cleaning up supply chains and reducing worldwide greenhouse gas emissions; that going green requires a sustained and unified effort from a diverse set of companies, customers, suppliers, workers, nonprofits, governments, and NGOs. And, as the highlights collected in this special section reveal, no company, industry, or executive will remain untouched.",
            "URL": "https://fpt.hbrspark.org/assets/R0809C-PDF-ENG",
            "ImageURL": "https://hbr.org/resources/images/products/CL-generic-image-hbrarticle.png",
            "Authors": "Harvard Business Review",
            "Duration": "9",
            "Language": "ENG",
            "PublicationDate": "2008-09-01",
            "CopyrightHolder": "Harvard Business Review",
            "SubjectTags": "Marketing;Sustainable business practices",
            "Status": "Active",
            "MajorDiscipline": "Social Enterprise",
            "Series": "",
            "Skills": "",
            "LastModifiedDate": "2022-06-07"
        }
    ],
    "start": 20
}</t>
  </si>
  <si>
    <t>{
    "count": 29388,
    "limit": 3,
    "list": [
        {
            "ProductId": "186CM2-HTM-ENG",
            "AssetType": "Lessons",
            "AssetFormat": "HTML",
            "Title": "Seek Career Support",
            "Description": "",
            "URL": "https://fpt.hbrspark.org/assets/186CM2-HTM-ENG",
            "ImageURL": "https://hbr.org/resources/images/products/186CM2_500.png",
            "Authors": "Harvard Business Publishing",
            "Duration": "16",
            "Language": "ENG",
            "PublicationDate": "2014-09-13",
            "CopyrightHolder": "Harvard ManageMentor",
            "SubjectTags": "Career planning;Interpersonal skills;Mentoring;Professional networks;Social media",
            "Status": "Active",
            "MajorDiscipline": "Human Resource Management",
            "Series": "",
            "Skills": "Exercising career agility;Networking;Taking charge of your professional growth",
            "LastModifiedDate": "2025-02-13"
        },
        {
            "ProductId": "186FI1-HTM-ENG",
            "AssetType": "Lessons",
            "AssetFormat": "HTML",
            "Title": "Understand Financial Statements",
            "Description": "",
            "URL": "https://fpt.hbrspark.org/assets/186FI1-HTM-ENG",
            "ImageURL": "https://hbr.org/resources/images/products/186FI1_500.png",
            "Authors": "Harvard Business Publishing",
            "Duration": "29",
            "Language": "ENG",
            "PublicationDate": "2014-09-14",
            "CopyrightHolder": "Harvard ManageMentor",
            "SubjectTags": "Accrual accounting;Annual reports and financial statements;Asset management;Balance sheets;Cash accounting;Cost allocation;Financial performance measurement;Financial statements;Management skills",
            "Status": "Active",
            "MajorDiscipline": "Finance",
            "Series": "",
            "Skills": "Budgeting;Developing financial literacy;Measuring business performance",
            "LastModifiedDate": "2025-02-13"
        },
        {
            "ProductId": "186PM5-HTM-ENG",
            "AssetType": "Lessons",
            "AssetFormat": "HTML",
            "Title": "Gather and Interpret Performance Data",
            "Description": "",
            "URL": "https://fpt.hbrspark.org/assets/186PM5-HTM-ENG",
            "ImageURL": "https://hbr.org/resources/images/products/186PM5_500.png",
            "Authors": "Harvard Business Publishing",
            "Duration": "20",
            "Language": "ENG",
            "PublicationDate": "2014-09-14",
            "CopyrightHolder": "Harvard ManageMentor",
            "SubjectTags": "Business communication;Decision making;Employee performance management;Performance indicators",
            "Status": "Active",
            "MajorDiscipline": "General Management",
            "Series": "",
            "Skills": "Developing data intelligence;Leveraging financial tools for business impact;Measuring business performance",
            "LastModifiedDate": "2025-02-13"
        }
    ],
    "start": 20
}</t>
  </si>
  <si>
    <t>Schedule</t>
  </si>
  <si>
    <t>Pipeline Flow</t>
  </si>
  <si>
    <t>Execution Control</t>
  </si>
  <si>
    <t>Step</t>
  </si>
  <si>
    <t>LevelUP</t>
  </si>
  <si>
    <t>05:00 daily</t>
  </si>
  <si>
    <r>
      <t>POST /authenticate</t>
    </r>
    <r>
      <rPr>
        <sz val="11"/>
        <rFont val="Carlito"/>
      </rPr>
      <t xml:space="preserve"> → lấy token, dùng chung cho cả lần chạy</t>
    </r>
  </si>
  <si>
    <t>Sau bước 1</t>
  </si>
  <si>
    <r>
      <t>GET /courses</t>
    </r>
    <r>
      <rPr>
        <sz val="11"/>
        <rFont val="Carlito"/>
      </rPr>
      <t xml:space="preserve"> → loại </t>
    </r>
    <r>
      <rPr>
        <sz val="10"/>
        <rFont val="Arial Unicode MS"/>
        <family val="2"/>
      </rPr>
      <t>vendor = LinkedIn Learning</t>
    </r>
    <r>
      <rPr>
        <sz val="11"/>
        <rFont val="Carlito"/>
      </rPr>
      <t xml:space="preserve"> → lưu từng trang</t>
    </r>
  </si>
  <si>
    <t>Sau bước 2</t>
  </si>
  <si>
    <r>
      <t xml:space="preserve">Lấy từng </t>
    </r>
    <r>
      <rPr>
        <sz val="10"/>
        <rFont val="Arial Unicode MS"/>
        <family val="2"/>
      </rPr>
      <t>courseId</t>
    </r>
    <r>
      <rPr>
        <sz val="11"/>
        <rFont val="Carlito"/>
      </rPr>
      <t xml:space="preserve"> → gọi </t>
    </r>
    <r>
      <rPr>
        <sz val="10"/>
        <rFont val="Arial Unicode MS"/>
        <family val="2"/>
      </rPr>
      <t>GET /courses/{courseId}/enrollments</t>
    </r>
    <r>
      <rPr>
        <sz val="11"/>
        <rFont val="Carlito"/>
      </rPr>
      <t xml:space="preserve"> → lưu từng trang</t>
    </r>
  </si>
  <si>
    <t>Pagination / Loop</t>
  </si>
  <si>
    <t>Nếu token hết hạn thì xác thực lại</t>
  </si>
  <si>
    <r>
      <t>_limit=1000</t>
    </r>
    <r>
      <rPr>
        <sz val="11"/>
        <rFont val="Carlito"/>
      </rPr>
      <t xml:space="preserve">; </t>
    </r>
    <r>
      <rPr>
        <sz val="10"/>
        <rFont val="Arial Unicode MS"/>
        <family val="2"/>
      </rPr>
      <t>_offset=0,1000,2000...</t>
    </r>
    <r>
      <rPr>
        <sz val="11"/>
        <rFont val="Carlito"/>
      </rPr>
      <t xml:space="preserve">; dừng khi </t>
    </r>
    <r>
      <rPr>
        <sz val="10"/>
        <rFont val="Arial Unicode MS"/>
        <family val="2"/>
      </rPr>
      <t>offset + returnedItems &gt;= totalItems</t>
    </r>
  </si>
  <si>
    <r>
      <t xml:space="preserve">Retry tối đa 3 lần khi </t>
    </r>
    <r>
      <rPr>
        <sz val="10"/>
        <rFont val="Arial Unicode MS"/>
        <family val="2"/>
      </rPr>
      <t>429/5xx</t>
    </r>
  </si>
  <si>
    <r>
      <t xml:space="preserve">Với mỗi course: </t>
    </r>
    <r>
      <rPr>
        <sz val="10"/>
        <rFont val="Arial Unicode MS"/>
        <family val="2"/>
      </rPr>
      <t>_limit=1000</t>
    </r>
    <r>
      <rPr>
        <sz val="11"/>
        <rFont val="Carlito"/>
      </rPr>
      <t xml:space="preserve">; tăng </t>
    </r>
    <r>
      <rPr>
        <sz val="10"/>
        <rFont val="Arial Unicode MS"/>
        <family val="2"/>
      </rPr>
      <t>_offset</t>
    </r>
    <r>
      <rPr>
        <sz val="11"/>
        <rFont val="Carlito"/>
      </rPr>
      <t xml:space="preserve"> đến khi lấy hết</t>
    </r>
  </si>
  <si>
    <r>
      <t xml:space="preserve">Chạy đồng thời khoảng 5 course; retry 3 lần; lưu checkpoint </t>
    </r>
    <r>
      <rPr>
        <sz val="10"/>
        <rFont val="Arial Unicode MS"/>
        <family val="2"/>
      </rPr>
      <t>courseId + offset</t>
    </r>
  </si>
  <si>
    <r>
      <t>GET /taxonomy</t>
    </r>
    <r>
      <rPr>
        <sz val="11"/>
        <rFont val="Carlito"/>
      </rPr>
      <t xml:space="preserve"> → lưu từng page</t>
    </r>
  </si>
  <si>
    <r>
      <t>PageNumber=1</t>
    </r>
    <r>
      <rPr>
        <sz val="11"/>
        <rFont val="Carlito"/>
      </rPr>
      <t xml:space="preserve">, </t>
    </r>
    <r>
      <rPr>
        <sz val="10"/>
        <rFont val="Arial Unicode MS"/>
        <family val="2"/>
      </rPr>
      <t>PageSize=50</t>
    </r>
    <r>
      <rPr>
        <sz val="11"/>
        <rFont val="Carlito"/>
      </rPr>
      <t xml:space="preserve">; tăng </t>
    </r>
    <r>
      <rPr>
        <sz val="10"/>
        <rFont val="Arial Unicode MS"/>
        <family val="2"/>
      </rPr>
      <t>PageNumber</t>
    </r>
    <r>
      <rPr>
        <sz val="11"/>
        <rFont val="Carlito"/>
      </rPr>
      <t xml:space="preserve"> đến khi </t>
    </r>
    <r>
      <rPr>
        <sz val="10"/>
        <rFont val="Arial Unicode MS"/>
        <family val="2"/>
      </rPr>
      <t>hasNextPage=false</t>
    </r>
  </si>
  <si>
    <t>Retry tối đa 3 lần</t>
  </si>
  <si>
    <r>
      <t>GET /employees/skills-profile</t>
    </r>
    <r>
      <rPr>
        <sz val="11"/>
        <rFont val="Carlito"/>
      </rPr>
      <t xml:space="preserve"> → lưu từng page</t>
    </r>
  </si>
  <si>
    <r>
      <t>pageNumber=1</t>
    </r>
    <r>
      <rPr>
        <sz val="11"/>
        <rFont val="Carlito"/>
      </rPr>
      <t xml:space="preserve">, </t>
    </r>
    <r>
      <rPr>
        <sz val="10"/>
        <rFont val="Arial Unicode MS"/>
        <family val="2"/>
      </rPr>
      <t>pageSize=50</t>
    </r>
    <r>
      <rPr>
        <sz val="11"/>
        <rFont val="Carlito"/>
      </rPr>
      <t>; tăng page đến hết</t>
    </r>
  </si>
  <si>
    <r>
      <t>GET /v3/reports</t>
    </r>
    <r>
      <rPr>
        <sz val="11"/>
        <rFont val="Carlito"/>
      </rPr>
      <t xml:space="preserve"> → lưu từng page</t>
    </r>
  </si>
  <si>
    <r>
      <t>PageNo=1</t>
    </r>
    <r>
      <rPr>
        <sz val="11"/>
        <rFont val="Carlito"/>
      </rPr>
      <t xml:space="preserve">, </t>
    </r>
    <r>
      <rPr>
        <sz val="10"/>
        <rFont val="Arial Unicode MS"/>
        <family val="2"/>
      </rPr>
      <t>PageSize=100</t>
    </r>
    <r>
      <rPr>
        <sz val="11"/>
        <rFont val="Carlito"/>
      </rPr>
      <t xml:space="preserve">; tăng page đến khi </t>
    </r>
    <r>
      <rPr>
        <sz val="10"/>
        <rFont val="Arial Unicode MS"/>
        <family val="2"/>
      </rPr>
      <t>hasNextPage=false</t>
    </r>
  </si>
  <si>
    <t>Course Catalog – Live</t>
  </si>
  <si>
    <r>
      <t>GET /v1/catalog/live-courses</t>
    </r>
    <r>
      <rPr>
        <sz val="11"/>
        <rFont val="Carlito"/>
      </rPr>
      <t xml:space="preserve"> → lưu Bronze</t>
    </r>
  </si>
  <si>
    <t>Retry 3 lần khi 429/5xx</t>
  </si>
  <si>
    <t>Course Catalog – Archived</t>
  </si>
  <si>
    <r>
      <t>GET /v1/catalog/archived-courses</t>
    </r>
    <r>
      <rPr>
        <sz val="11"/>
        <rFont val="Carlito"/>
      </rPr>
      <t xml:space="preserve"> → lưu Bronze</t>
    </r>
  </si>
  <si>
    <r>
      <t>GET /v1/events</t>
    </r>
    <r>
      <rPr>
        <sz val="11"/>
        <rFont val="Carlito"/>
      </rPr>
      <t xml:space="preserve"> → lưu từng page vào Bronze</t>
    </r>
  </si>
  <si>
    <r>
      <t>page=1</t>
    </r>
    <r>
      <rPr>
        <sz val="11"/>
        <rFont val="Carlito"/>
      </rPr>
      <t xml:space="preserve">, </t>
    </r>
    <r>
      <rPr>
        <sz val="10"/>
        <rFont val="Arial Unicode MS"/>
        <family val="2"/>
      </rPr>
      <t>pageSize=1000</t>
    </r>
    <r>
      <rPr>
        <sz val="11"/>
        <rFont val="Carlito"/>
      </rPr>
      <t xml:space="preserve">; tăng </t>
    </r>
    <r>
      <rPr>
        <sz val="10"/>
        <rFont val="Arial Unicode MS"/>
        <family val="2"/>
      </rPr>
      <t>page</t>
    </r>
    <r>
      <rPr>
        <sz val="11"/>
        <rFont val="Carlito"/>
      </rPr>
      <t xml:space="preserve"> đến </t>
    </r>
    <r>
      <rPr>
        <sz val="10"/>
        <rFont val="Arial Unicode MS"/>
        <family val="2"/>
      </rPr>
      <t>numberOfPages</t>
    </r>
  </si>
  <si>
    <r>
      <t xml:space="preserve">Retry 3 lần; checkpoint theo </t>
    </r>
    <r>
      <rPr>
        <sz val="10"/>
        <rFont val="Arial Unicode MS"/>
        <family val="2"/>
      </rPr>
      <t>page</t>
    </r>
  </si>
  <si>
    <r>
      <t>GET /{orgId}/contents</t>
    </r>
    <r>
      <rPr>
        <sz val="11"/>
        <rFont val="Carlito"/>
      </rPr>
      <t xml:space="preserve"> → lưu từng trang vào Bronze</t>
    </r>
  </si>
  <si>
    <r>
      <t>start=0</t>
    </r>
    <r>
      <rPr>
        <sz val="11"/>
        <rFont val="Carlito"/>
      </rPr>
      <t xml:space="preserve">, </t>
    </r>
    <r>
      <rPr>
        <sz val="10"/>
        <rFont val="Arial Unicode MS"/>
        <family val="2"/>
      </rPr>
      <t>limit=100</t>
    </r>
    <r>
      <rPr>
        <sz val="11"/>
        <rFont val="Carlito"/>
      </rPr>
      <t xml:space="preserve">; tăng </t>
    </r>
    <r>
      <rPr>
        <sz val="10"/>
        <rFont val="Arial Unicode MS"/>
        <family val="2"/>
      </rPr>
      <t>start += limit</t>
    </r>
    <r>
      <rPr>
        <sz val="11"/>
        <rFont val="Carlito"/>
      </rPr>
      <t xml:space="preserve"> đến khi hết dữ liệu</t>
    </r>
  </si>
  <si>
    <r>
      <t>GET /{orgId}/enrollmentReports</t>
    </r>
    <r>
      <rPr>
        <sz val="11"/>
        <rFont val="Carlito"/>
      </rPr>
      <t xml:space="preserve"> → lưu từng trang vào Bronze</t>
    </r>
  </si>
  <si>
    <r>
      <t>start=0</t>
    </r>
    <r>
      <rPr>
        <sz val="11"/>
        <rFont val="Carlito"/>
      </rPr>
      <t xml:space="preserve">, </t>
    </r>
    <r>
      <rPr>
        <sz val="10"/>
        <rFont val="Arial Unicode MS"/>
        <family val="2"/>
      </rPr>
      <t>limit=100</t>
    </r>
    <r>
      <rPr>
        <sz val="11"/>
        <rFont val="Carlito"/>
      </rPr>
      <t xml:space="preserve">, </t>
    </r>
    <r>
      <rPr>
        <sz val="10"/>
        <rFont val="Arial Unicode MS"/>
        <family val="2"/>
      </rPr>
      <t>includeS12n=true</t>
    </r>
    <r>
      <rPr>
        <sz val="11"/>
        <rFont val="Carlito"/>
      </rPr>
      <t xml:space="preserve">; tăng </t>
    </r>
    <r>
      <rPr>
        <sz val="10"/>
        <rFont val="Arial Unicode MS"/>
        <family val="2"/>
      </rPr>
      <t>start += limit</t>
    </r>
    <r>
      <rPr>
        <sz val="11"/>
        <rFont val="Carlito"/>
      </rPr>
      <t xml:space="preserve"> đến khi hết dữ liệu</t>
    </r>
  </si>
  <si>
    <r>
      <t>POST /oauth/v2/accessToken</t>
    </r>
    <r>
      <rPr>
        <sz val="11"/>
        <rFont val="Carlito"/>
      </rPr>
      <t xml:space="preserve"> → lấy </t>
    </r>
    <r>
      <rPr>
        <sz val="10"/>
        <rFont val="Arial Unicode MS"/>
        <family val="2"/>
      </rPr>
      <t>access_token</t>
    </r>
  </si>
  <si>
    <t>Lấy token mới trước khi chạy; retry 3 lần</t>
  </si>
  <si>
    <r>
      <t>GET /learningAssets</t>
    </r>
    <r>
      <rPr>
        <sz val="11"/>
        <rFont val="Carlito"/>
      </rPr>
      <t xml:space="preserve"> → lưu từng page</t>
    </r>
  </si>
  <si>
    <r>
      <t>count=100</t>
    </r>
    <r>
      <rPr>
        <sz val="11"/>
        <rFont val="Carlito"/>
      </rPr>
      <t xml:space="preserve">; tăng </t>
    </r>
    <r>
      <rPr>
        <sz val="10"/>
        <rFont val="Arial Unicode MS"/>
        <family val="2"/>
      </rPr>
      <t>start += count</t>
    </r>
    <r>
      <rPr>
        <sz val="11"/>
        <rFont val="Carlito"/>
      </rPr>
      <t xml:space="preserve">; dừng khi </t>
    </r>
    <r>
      <rPr>
        <sz val="10"/>
        <rFont val="Arial Unicode MS"/>
        <family val="2"/>
      </rPr>
      <t>start &gt;= paging.total</t>
    </r>
  </si>
  <si>
    <t>Retry 3 lần cho 429/5xx</t>
  </si>
  <si>
    <r>
      <t>GET /learningActivityReports</t>
    </r>
    <r>
      <rPr>
        <sz val="11"/>
        <rFont val="Carlito"/>
      </rPr>
      <t xml:space="preserve"> → chia dữ liệu thành từng khoảng tối đa 14 ngày</t>
    </r>
  </si>
  <si>
    <r>
      <t xml:space="preserve">Với mỗi khoảng ngày: tăng </t>
    </r>
    <r>
      <rPr>
        <sz val="10"/>
        <rFont val="Arial Unicode MS"/>
        <family val="2"/>
      </rPr>
      <t>start</t>
    </r>
    <r>
      <rPr>
        <sz val="11"/>
        <rFont val="Carlito"/>
      </rPr>
      <t xml:space="preserve"> theo </t>
    </r>
    <r>
      <rPr>
        <sz val="10"/>
        <rFont val="Arial Unicode MS"/>
        <family val="2"/>
      </rPr>
      <t>count</t>
    </r>
    <r>
      <rPr>
        <sz val="11"/>
        <rFont val="Carlito"/>
      </rPr>
      <t xml:space="preserve">; dừng khi đủ </t>
    </r>
    <r>
      <rPr>
        <sz val="10"/>
        <rFont val="Arial Unicode MS"/>
        <family val="2"/>
      </rPr>
      <t>paging.total</t>
    </r>
  </si>
  <si>
    <t>Chạy tuần tự theo khoảng ngày; retry 3 lần</t>
  </si>
  <si>
    <r>
      <t xml:space="preserve">POST </t>
    </r>
    <r>
      <rPr>
        <sz val="10"/>
        <rFont val="Arial Unicode MS"/>
        <family val="2"/>
      </rPr>
      <t>/api/oauth/v2/accesstoken</t>
    </r>
    <r>
      <rPr>
        <sz val="11"/>
        <rFont val="Carlito"/>
      </rPr>
      <t xml:space="preserve"> → lưu access token</t>
    </r>
  </si>
  <si>
    <t>Retry 3 lần</t>
  </si>
  <si>
    <r>
      <t xml:space="preserve">GET </t>
    </r>
    <r>
      <rPr>
        <sz val="10"/>
        <rFont val="Arial Unicode MS"/>
        <family val="2"/>
      </rPr>
      <t>/api/catalog/{orgKey}?catalogs=HMM&amp;limit=1000&amp;start=0</t>
    </r>
    <r>
      <rPr>
        <sz val="11"/>
        <rFont val="Carlito"/>
      </rPr>
      <t xml:space="preserve"> → lưu từng page vào Bronze</t>
    </r>
  </si>
  <si>
    <r>
      <t xml:space="preserve">Tăng </t>
    </r>
    <r>
      <rPr>
        <sz val="10"/>
        <rFont val="Arial Unicode MS"/>
        <family val="2"/>
      </rPr>
      <t>start += limit</t>
    </r>
    <r>
      <rPr>
        <sz val="11"/>
        <rFont val="Carlito"/>
      </rPr>
      <t xml:space="preserve"> đến khi lấy đủ </t>
    </r>
    <r>
      <rPr>
        <sz val="10"/>
        <rFont val="Arial Unicode MS"/>
        <family val="2"/>
      </rPr>
      <t>count</t>
    </r>
  </si>
  <si>
    <r>
      <t xml:space="preserve">Retry 3 lần; checkpoint </t>
    </r>
    <r>
      <rPr>
        <sz val="10"/>
        <rFont val="Arial Unicode MS"/>
        <family val="2"/>
      </rPr>
      <t>start</t>
    </r>
  </si>
  <si>
    <t>Daily, sau khi Harvard tạo file</t>
  </si>
  <si>
    <r>
      <t xml:space="preserve">Kết nối SFTP → vào </t>
    </r>
    <r>
      <rPr>
        <sz val="10"/>
        <rFont val="Arial Unicode MS"/>
        <family val="2"/>
      </rPr>
      <t>/fpt_sparkprod_feed</t>
    </r>
    <r>
      <rPr>
        <sz val="11"/>
        <rFont val="Carlito"/>
      </rPr>
      <t xml:space="preserve"> → tìm </t>
    </r>
    <r>
      <rPr>
        <sz val="10"/>
        <rFont val="Arial Unicode MS"/>
        <family val="2"/>
      </rPr>
      <t>harvard_hmm_reporting_YYYYMMDD.csv</t>
    </r>
    <r>
      <rPr>
        <sz val="11"/>
        <rFont val="Carlito"/>
      </rPr>
      <t xml:space="preserve"> → tải file mới vào Bronze</t>
    </r>
  </si>
  <si>
    <t>So sánh tên file với danh sách file đã xử lý; chỉ tải file mới</t>
  </si>
  <si>
    <t>Retry 3 lần; kiểm tra file size/row count trước khi đánh dấu thành công</t>
  </si>
  <si>
    <r>
      <t xml:space="preserve">POST </t>
    </r>
    <r>
      <rPr>
        <sz val="10"/>
        <rFont val="Arial Unicode MS"/>
        <family val="2"/>
      </rPr>
      <t>/api/oauth/v2/accesstoken</t>
    </r>
    <r>
      <rPr>
        <sz val="11"/>
        <rFont val="Carlito"/>
      </rPr>
      <t xml:space="preserve"> → nhận </t>
    </r>
    <r>
      <rPr>
        <sz val="10"/>
        <rFont val="Arial Unicode MS"/>
        <family val="2"/>
      </rPr>
      <t>access_token</t>
    </r>
    <r>
      <rPr>
        <sz val="11"/>
        <rFont val="Carlito"/>
      </rPr>
      <t xml:space="preserve"> dùng cho bước 2</t>
    </r>
  </si>
  <si>
    <t>Retry 3 lần; không lưu token vào Bronze</t>
  </si>
  <si>
    <r>
      <t xml:space="preserve">GET </t>
    </r>
    <r>
      <rPr>
        <sz val="10"/>
        <rFont val="Arial Unicode MS"/>
        <family val="2"/>
      </rPr>
      <t>/api/catalog/{orgKey}?catalogs=HBR_SPARK&amp;limit=1000&amp;start=0</t>
    </r>
    <r>
      <rPr>
        <sz val="11"/>
        <rFont val="Carlito"/>
      </rPr>
      <t xml:space="preserve"> → lưu từng page vào Bronze</t>
    </r>
  </si>
  <si>
    <r>
      <t xml:space="preserve">Kết nối SFTP → vào </t>
    </r>
    <r>
      <rPr>
        <sz val="10"/>
        <rFont val="Arial Unicode MS"/>
        <family val="2"/>
      </rPr>
      <t>/fpt_sparkprod_feed</t>
    </r>
    <r>
      <rPr>
        <sz val="11"/>
        <rFont val="Carlito"/>
      </rPr>
      <t xml:space="preserve"> → tìm </t>
    </r>
    <r>
      <rPr>
        <sz val="10"/>
        <rFont val="Arial Unicode MS"/>
        <family val="2"/>
      </rPr>
      <t>harvard_Spark_reporting_YYYYMMDD.csv</t>
    </r>
    <r>
      <rPr>
        <sz val="11"/>
        <rFont val="Carlito"/>
      </rPr>
      <t xml:space="preserve"> → tải file mới vào Bronze</t>
    </r>
  </si>
  <si>
    <t>So sánh tên file với danh sách đã xử lý; chỉ tải file mới</t>
  </si>
  <si>
    <t>Training Data – Full Pull</t>
  </si>
  <si>
    <r>
      <t xml:space="preserve">GET </t>
    </r>
    <r>
      <rPr>
        <sz val="10"/>
        <rFont val="Arial Unicode MS"/>
        <family val="2"/>
      </rPr>
      <t>/api/fsa-reports/training-data</t>
    </r>
    <r>
      <rPr>
        <sz val="11"/>
        <rFont val="Carlito"/>
      </rPr>
      <t xml:space="preserve"> → lưu </t>
    </r>
    <r>
      <rPr>
        <sz val="10"/>
        <rFont val="Arial Unicode MS"/>
        <family val="2"/>
      </rPr>
      <t>classList[]</t>
    </r>
    <r>
      <rPr>
        <sz val="11"/>
        <rFont val="Carlito"/>
      </rPr>
      <t xml:space="preserve">, </t>
    </r>
    <r>
      <rPr>
        <sz val="10"/>
        <rFont val="Arial Unicode MS"/>
        <family val="2"/>
      </rPr>
      <t>studentList[]</t>
    </r>
    <r>
      <rPr>
        <sz val="11"/>
        <rFont val="Carlito"/>
      </rPr>
      <t xml:space="preserve"> vào Bronze</t>
    </r>
  </si>
  <si>
    <t>Không filter, không phân trang</t>
  </si>
  <si>
    <r>
      <t xml:space="preserve">Header </t>
    </r>
    <r>
      <rPr>
        <sz val="10"/>
        <rFont val="Arial Unicode MS"/>
        <family val="2"/>
      </rPr>
      <t>Fsa-Report-Api-Key</t>
    </r>
    <r>
      <rPr>
        <sz val="11"/>
        <rFont val="Carlito"/>
      </rPr>
      <t>; chạy qua mạng/IP công ty; retry 3 lần</t>
    </r>
  </si>
  <si>
    <t>Training Data – Filtered</t>
  </si>
  <si>
    <t>05:00 daily / khi backfill</t>
  </si>
  <si>
    <r>
      <t xml:space="preserve">GET </t>
    </r>
    <r>
      <rPr>
        <sz val="10"/>
        <rFont val="Arial Unicode MS"/>
        <family val="2"/>
      </rPr>
      <t>/api/fsa-reports/training-data</t>
    </r>
    <r>
      <rPr>
        <sz val="11"/>
        <rFont val="Carlito"/>
      </rPr>
      <t xml:space="preserve"> → lưu dữ liệu theo điều kiện vào Bronze</t>
    </r>
  </si>
  <si>
    <r>
      <t>status</t>
    </r>
    <r>
      <rPr>
        <sz val="11"/>
        <rFont val="Carlito"/>
      </rPr>
      <t xml:space="preserve">, </t>
    </r>
    <r>
      <rPr>
        <sz val="10"/>
        <rFont val="Arial Unicode MS"/>
        <family val="2"/>
      </rPr>
      <t>site</t>
    </r>
    <r>
      <rPr>
        <sz val="11"/>
        <rFont val="Carlito"/>
      </rPr>
      <t xml:space="preserve">, </t>
    </r>
    <r>
      <rPr>
        <sz val="10"/>
        <rFont val="Arial Unicode MS"/>
        <family val="2"/>
      </rPr>
      <t>actualStartDateFrom</t>
    </r>
    <r>
      <rPr>
        <sz val="11"/>
        <rFont val="Carlito"/>
      </rPr>
      <t xml:space="preserve">, </t>
    </r>
    <r>
      <rPr>
        <sz val="10"/>
        <rFont val="Arial Unicode MS"/>
        <family val="2"/>
      </rPr>
      <t>actualStartDateTo</t>
    </r>
    <r>
      <rPr>
        <sz val="11"/>
        <rFont val="Carlito"/>
      </rPr>
      <t>; không phân trang</t>
    </r>
  </si>
  <si>
    <r>
      <t xml:space="preserve">Lưu mốc ngày đã xử lý; retry 3 lần; chỉ ghi khi </t>
    </r>
    <r>
      <rPr>
        <sz val="10"/>
        <rFont val="Arial Unicode MS"/>
        <family val="2"/>
      </rPr>
      <t>success=true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</si>
</sst>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8"/>
      <color rgb="FFFFFFFF"/>
      <name val="Carlito"/>
    </font>
    <font>
      <b/>
      <sz val="11"/>
      <color rgb="FF17365D"/>
      <name val="Carlito"/>
    </font>
    <font>
      <b/>
      <sz val="20"/>
      <color rgb="FF1F4E78"/>
      <name val="Carlito"/>
    </font>
    <font>
      <b/>
      <sz val="11"/>
      <color rgb="FFFFFFFF"/>
      <name val="Carlito"/>
    </font>
    <font>
      <sz val="10"/>
      <color rgb="FF1F2937"/>
      <name val="Carlito"/>
    </font>
    <font>
      <b/>
      <sz val="10"/>
      <color rgb="FF17365D"/>
      <name val="Carlito"/>
    </font>
    <font>
      <u/>
      <sz val="11"/>
      <color theme="10"/>
      <name val="Carlito"/>
    </font>
    <font>
      <sz val="10"/>
      <name val="Arial Unicode MS"/>
      <family val="2"/>
    </font>
    <font>
      <b/>
      <sz val="11"/>
      <name val="Carlito"/>
    </font>
  </fonts>
  <fills count="13">
    <fill>
      <patternFill patternType="none"/>
    </fill>
    <fill>
      <patternFill patternType="gray125"/>
    </fill>
    <fill>
      <patternFill patternType="solid">
        <fgColor rgb="FF17365D"/>
      </patternFill>
    </fill>
    <fill>
      <patternFill patternType="solid">
        <fgColor rgb="FFD9EAF7"/>
      </patternFill>
    </fill>
    <fill>
      <patternFill patternType="solid">
        <fgColor rgb="FFFFFFFF"/>
      </patternFill>
    </fill>
    <fill>
      <patternFill patternType="solid">
        <fgColor rgb="FF1F4E78"/>
      </patternFill>
    </fill>
    <fill>
      <patternFill patternType="solid">
        <fgColor rgb="FFE2F0D9"/>
      </patternFill>
    </fill>
    <fill>
      <patternFill patternType="solid">
        <fgColor rgb="FFFFF2CC"/>
      </patternFill>
    </fill>
    <fill>
      <patternFill patternType="solid">
        <fgColor rgb="FFFCE4D6"/>
      </patternFill>
    </fill>
    <fill>
      <patternFill patternType="solid">
        <fgColor rgb="FFDDEBF7"/>
      </patternFill>
    </fill>
    <fill>
      <patternFill patternType="solid">
        <fgColor rgb="FFE4DFEC"/>
      </patternFill>
    </fill>
    <fill>
      <patternFill patternType="solid">
        <fgColor rgb="FFEDEDED"/>
      </patternFill>
    </fill>
    <fill>
      <patternFill patternType="solid">
        <fgColor rgb="FFF4CCCC"/>
      </patternFill>
    </fill>
  </fills>
  <borders count="5">
    <border>
      <left/>
      <right/>
      <top/>
      <bottom/>
      <diagonal/>
    </border>
    <border>
      <left/>
      <right/>
      <top/>
      <bottom style="medium">
        <color rgb="FFD9EAF7"/>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s>
  <cellStyleXfs count="2">
    <xf numFmtId="0" fontId="0" fillId="0" borderId="0"/>
    <xf numFmtId="0" fontId="7" fillId="0" borderId="0" applyNumberFormat="0" applyFill="0" applyBorder="0" applyAlignment="0" applyProtection="0"/>
  </cellStyleXfs>
  <cellXfs count="37">
    <xf numFmtId="0" fontId="0" fillId="0" borderId="0" xfId="0"/>
    <xf numFmtId="0" fontId="2" fillId="3" borderId="0" xfId="0" applyFont="1" applyFill="1" applyAlignment="1">
      <alignment horizontal="center" vertical="center"/>
    </xf>
    <xf numFmtId="0" fontId="3" fillId="4" borderId="1" xfId="0" applyFont="1" applyFill="1" applyBorder="1" applyAlignment="1">
      <alignment horizontal="center" vertical="center"/>
    </xf>
    <xf numFmtId="0" fontId="4" fillId="5" borderId="2" xfId="0" applyFont="1" applyFill="1" applyBorder="1" applyAlignment="1">
      <alignment horizontal="center" vertical="center"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6" fillId="3" borderId="3" xfId="0" applyFont="1" applyFill="1" applyBorder="1" applyAlignment="1">
      <alignment horizontal="left" vertical="top" wrapText="1"/>
    </xf>
    <xf numFmtId="0" fontId="5" fillId="3" borderId="3" xfId="0" applyFont="1" applyFill="1" applyBorder="1" applyAlignment="1">
      <alignment horizontal="left" vertical="top" wrapText="1"/>
    </xf>
    <xf numFmtId="0" fontId="6" fillId="3" borderId="4" xfId="0" applyFont="1" applyFill="1" applyBorder="1" applyAlignment="1">
      <alignment horizontal="left" vertical="top" wrapText="1"/>
    </xf>
    <xf numFmtId="0" fontId="5" fillId="3" borderId="4" xfId="0" applyFont="1" applyFill="1" applyBorder="1" applyAlignment="1">
      <alignment horizontal="left" vertical="top" wrapText="1"/>
    </xf>
    <xf numFmtId="0" fontId="6" fillId="6" borderId="4" xfId="0" applyFont="1" applyFill="1" applyBorder="1" applyAlignment="1">
      <alignment horizontal="left" vertical="top" wrapText="1"/>
    </xf>
    <xf numFmtId="0" fontId="5" fillId="6" borderId="4" xfId="0" applyFont="1" applyFill="1" applyBorder="1" applyAlignment="1">
      <alignment horizontal="left" vertical="top" wrapText="1"/>
    </xf>
    <xf numFmtId="0" fontId="6" fillId="7" borderId="4" xfId="0" applyFont="1" applyFill="1" applyBorder="1" applyAlignment="1">
      <alignment horizontal="left" vertical="top" wrapText="1"/>
    </xf>
    <xf numFmtId="0" fontId="5" fillId="7" borderId="4" xfId="0" applyFont="1" applyFill="1" applyBorder="1" applyAlignment="1">
      <alignment horizontal="left" vertical="top" wrapText="1"/>
    </xf>
    <xf numFmtId="0" fontId="6" fillId="8" borderId="4" xfId="0" applyFont="1" applyFill="1" applyBorder="1" applyAlignment="1">
      <alignment horizontal="left" vertical="top" wrapText="1"/>
    </xf>
    <xf numFmtId="0" fontId="5" fillId="8" borderId="4" xfId="0" applyFont="1" applyFill="1" applyBorder="1" applyAlignment="1">
      <alignment horizontal="left" vertical="top" wrapText="1"/>
    </xf>
    <xf numFmtId="0" fontId="6" fillId="9" borderId="4" xfId="0" applyFont="1" applyFill="1" applyBorder="1" applyAlignment="1">
      <alignment horizontal="left" vertical="top" wrapText="1"/>
    </xf>
    <xf numFmtId="0" fontId="5" fillId="9" borderId="4" xfId="0" applyFont="1" applyFill="1" applyBorder="1" applyAlignment="1">
      <alignment horizontal="left" vertical="top" wrapText="1"/>
    </xf>
    <xf numFmtId="0" fontId="6" fillId="10" borderId="4" xfId="0" applyFont="1" applyFill="1" applyBorder="1" applyAlignment="1">
      <alignment horizontal="left" vertical="top" wrapText="1"/>
    </xf>
    <xf numFmtId="0" fontId="5" fillId="10" borderId="4" xfId="0" applyFont="1" applyFill="1" applyBorder="1" applyAlignment="1">
      <alignment horizontal="left" vertical="top" wrapText="1"/>
    </xf>
    <xf numFmtId="0" fontId="6" fillId="11" borderId="4" xfId="0" applyFont="1" applyFill="1" applyBorder="1" applyAlignment="1">
      <alignment horizontal="left" vertical="top" wrapText="1"/>
    </xf>
    <xf numFmtId="0" fontId="5" fillId="11" borderId="4" xfId="0" applyFont="1" applyFill="1" applyBorder="1" applyAlignment="1">
      <alignment horizontal="left" vertical="top" wrapText="1"/>
    </xf>
    <xf numFmtId="0" fontId="6" fillId="12" borderId="4" xfId="0" applyFont="1" applyFill="1" applyBorder="1" applyAlignment="1">
      <alignment horizontal="left" vertical="top" wrapText="1"/>
    </xf>
    <xf numFmtId="0" fontId="5" fillId="12" borderId="4" xfId="0" applyFont="1" applyFill="1" applyBorder="1" applyAlignment="1">
      <alignment horizontal="left" vertical="top" wrapText="1"/>
    </xf>
    <xf numFmtId="0" fontId="1" fillId="2" borderId="0" xfId="0" applyFont="1" applyFill="1" applyAlignment="1">
      <alignment horizontal="left" vertical="center"/>
    </xf>
    <xf numFmtId="0" fontId="0" fillId="0" borderId="0" xfId="0"/>
    <xf numFmtId="0" fontId="2" fillId="3" borderId="0" xfId="0" applyFont="1" applyFill="1" applyAlignment="1">
      <alignment horizontal="center" vertical="center"/>
    </xf>
    <xf numFmtId="0" fontId="3" fillId="4" borderId="1" xfId="0" applyFont="1" applyFill="1" applyBorder="1" applyAlignment="1">
      <alignment horizontal="center" vertical="center"/>
    </xf>
    <xf numFmtId="0" fontId="7" fillId="0" borderId="0" xfId="1"/>
    <xf numFmtId="0" fontId="7" fillId="0" borderId="0" xfId="1" applyAlignment="1">
      <alignment wrapText="1"/>
    </xf>
    <xf numFmtId="0" fontId="0" fillId="0" borderId="0" xfId="0" applyAlignment="1">
      <alignment wrapText="1"/>
    </xf>
    <xf numFmtId="0" fontId="7" fillId="0" borderId="4" xfId="1" applyBorder="1" applyAlignment="1">
      <alignment horizontal="left" vertical="top" wrapText="1"/>
    </xf>
    <xf numFmtId="0" fontId="8" fillId="0" borderId="0" xfId="0" applyFont="1"/>
    <xf numFmtId="0" fontId="9" fillId="0" borderId="0" xfId="0" applyFont="1"/>
    <xf numFmtId="0" fontId="8"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39</xdr:row>
      <xdr:rowOff>101600</xdr:rowOff>
    </xdr:to>
    <xdr:sp macro="" textlink="">
      <xdr:nvSpPr>
        <xdr:cNvPr id="1026" name="Text Box 2" hidden="1">
          <a:extLst>
            <a:ext uri="{FF2B5EF4-FFF2-40B4-BE49-F238E27FC236}">
              <a16:creationId xmlns:a16="http://schemas.microsoft.com/office/drawing/2014/main" id="{AC8F764B-41F0-131C-320E-A1BAB7CED26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1270000</xdr:colOff>
      <xdr:row>13</xdr:row>
      <xdr:rowOff>609600</xdr:rowOff>
    </xdr:to>
    <xdr:sp macro="" textlink="">
      <xdr:nvSpPr>
        <xdr:cNvPr id="2050" name="Text Box 2" hidden="1">
          <a:extLst>
            <a:ext uri="{FF2B5EF4-FFF2-40B4-BE49-F238E27FC236}">
              <a16:creationId xmlns:a16="http://schemas.microsoft.com/office/drawing/2014/main" id="{14F09B09-8A8C-4F27-3037-93A40633129F}"/>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ourceOverviewTable" displayName="SourceOverviewTable" ref="A7:G15" totalsRowShown="0">
  <tableColumns count="7">
    <tableColumn id="1" xr3:uid="{00000000-0010-0000-0000-000001000000}" name="No."/>
    <tableColumn id="2" xr3:uid="{00000000-0010-0000-0000-000002000000}" name="Vendor / Source"/>
    <tableColumn id="3" xr3:uid="{00000000-0010-0000-0000-000003000000}" name="Category"/>
    <tableColumn id="4" xr3:uid="{00000000-0010-0000-0000-000004000000}" name="Catalog Interface"/>
    <tableColumn id="5" xr3:uid="{00000000-0010-0000-0000-000005000000}" name="Learning / Assessment Interface"/>
    <tableColumn id="6" xr3:uid="{00000000-0010-0000-0000-000006000000}" name="Authentication"/>
    <tableColumn id="9" xr3:uid="{00000000-0010-0000-0000-000009000000}" name="Primary Refere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ndpointContractTable" displayName="EndpointContractTable" ref="A3:I27" totalsRowShown="0">
  <tableColumns count="9">
    <tableColumn id="1" xr3:uid="{00000000-0010-0000-0100-000001000000}" name="Endpoint ID"/>
    <tableColumn id="2" xr3:uid="{00000000-0010-0000-0100-000002000000}" name="Vendor / Source"/>
    <tableColumn id="3" xr3:uid="{00000000-0010-0000-0100-000003000000}" name="Data Domain"/>
    <tableColumn id="4" xr3:uid="{00000000-0010-0000-0100-000004000000}" name="Method / Protocol"/>
    <tableColumn id="5" xr3:uid="{00000000-0010-0000-0100-000005000000}" name="Endpoint / Location"/>
    <tableColumn id="6" xr3:uid="{00000000-0010-0000-0100-000006000000}" name="Auth &amp; Required Headers"/>
    <tableColumn id="7" xr3:uid="{00000000-0010-0000-0100-000007000000}" name="Required Input"/>
    <tableColumn id="8" xr3:uid="{00000000-0010-0000-0100-000008000000}" name="Query / Pagination"/>
    <tableColumn id="10" xr3:uid="{00000000-0010-0000-0100-00000A000000}" name="Raw Outpu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atalog-api.myhbp.org/v1/api/catalog/%7borgKey%7d" TargetMode="External"/><Relationship Id="rId1" Type="http://schemas.openxmlformats.org/officeDocument/2006/relationships/hyperlink" Target="https://catalog-api.myhbp.org/v1/api/oauth/v2/accesstoken"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https://api.linkedin.com/v2/learningAssets?q=criteria&amp;assetFilteringCriteria.assetTypes%5b0%5d=COURSE&amp;assetFilteringCriteria.licensedOnly=true&amp;assetRetrievalCriteria.expandDepth=1&amp;assetRetrievalCriteria.includeRetired=false&amp;start=0&amp;count=20" TargetMode="External"/><Relationship Id="rId13" Type="http://schemas.openxmlformats.org/officeDocument/2006/relationships/hyperlink" Target="https://catalog-api.myhbp.org/v1/api/oauth/v2/accesstoken" TargetMode="External"/><Relationship Id="rId3" Type="http://schemas.openxmlformats.org/officeDocument/2006/relationships/hyperlink" Target="https://rest.myabsorb.eu/courses/%7b%7babsorb_course_id%7d%7d/enrollments?_limit=1000&amp;_offset=0" TargetMode="External"/><Relationship Id="rId7" Type="http://schemas.openxmlformats.org/officeDocument/2006/relationships/hyperlink" Target="https://www.linkedin.com/oauth/v2/accessToken" TargetMode="External"/><Relationship Id="rId12" Type="http://schemas.openxmlformats.org/officeDocument/2006/relationships/hyperlink" Target="https://catalog-api.myhbp.org/v1/api/catalog/FPTSOFTWARE?catalogs=HMM&amp;startDate=20250101&amp;limit=50&amp;start=0" TargetMode="External"/><Relationship Id="rId2" Type="http://schemas.openxmlformats.org/officeDocument/2006/relationships/hyperlink" Target="https://rest.myabsorb.eu/courses?_limit=1000&amp;_offset=0&amp;_filter=vendor%20ne%20'LinkedIn%20Learning'" TargetMode="External"/><Relationship Id="rId1" Type="http://schemas.openxmlformats.org/officeDocument/2006/relationships/hyperlink" Target="https://rest.myabsorb.eu/authenticate" TargetMode="External"/><Relationship Id="rId6" Type="http://schemas.openxmlformats.org/officeDocument/2006/relationships/hyperlink" Target="https://apiv3.imocha.io/v3/reports?PageNo=1&amp;PageSize=100&amp;includeSections=true&amp;startDate=2026-01-01T00%3A00%3A00Z&amp;endDate=2026-12-31T23%3A59%3A59Z" TargetMode="External"/><Relationship Id="rId11" Type="http://schemas.openxmlformats.org/officeDocument/2006/relationships/hyperlink" Target="https://catalog-api.myhbp.org/v1/api/catalog/FPTSOFTWARE?catalogs=HMM&amp;limit=50&amp;start=0" TargetMode="External"/><Relationship Id="rId5" Type="http://schemas.openxmlformats.org/officeDocument/2006/relationships/hyperlink" Target="https://api.skillsintelligence.imocha.io/employees/skills-profile?pageNumber=1&amp;pageSize=50" TargetMode="External"/><Relationship Id="rId15" Type="http://schemas.openxmlformats.org/officeDocument/2006/relationships/hyperlink" Target="https://catalog-api.myhbp.org/v1/api/catalog/FPTSOFTWARE?catalogs=HBR_SPARK&amp;startDate=20250101&amp;limit=50&amp;start=0" TargetMode="External"/><Relationship Id="rId10" Type="http://schemas.openxmlformats.org/officeDocument/2006/relationships/hyperlink" Target="https://catalog-api.myhbp.org/v1/api/oauth/v2/accesstoken" TargetMode="External"/><Relationship Id="rId4" Type="http://schemas.openxmlformats.org/officeDocument/2006/relationships/hyperlink" Target="https://api.skillsintelligence.imocha.io/taxonomy?PageNumber=1&amp;PageSize=50&amp;IncludeTaxonomySkillTags=true&amp;IncludeDescription=true" TargetMode="External"/><Relationship Id="rId9" Type="http://schemas.openxmlformats.org/officeDocument/2006/relationships/hyperlink" Target="https://api.linkedin.com/v2/learningActivityReports?q=criteria&amp;startedAt=1704067200000&amp;timeOffset.unit=DAY&amp;timeOffset.duration=14&amp;aggregationCriteria.primary=INDIVIDUAL&amp;aggregationCriteria.secondary=CONTENT&amp;contentSource=ALL_SOURCES&amp;assetType=COURSE&amp;count=20&amp;start=0" TargetMode="External"/><Relationship Id="rId14" Type="http://schemas.openxmlformats.org/officeDocument/2006/relationships/hyperlink" Target="https://catalog-api.myhbp.org/v1/api/catalog/FPTSOFTWARE?catalogs=HBR_SPARK&amp;limit=50&amp;start=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showGridLines="0" workbookViewId="0">
      <selection activeCell="B17" sqref="B17"/>
    </sheetView>
  </sheetViews>
  <sheetFormatPr baseColWidth="10" defaultColWidth="8.83203125" defaultRowHeight="14"/>
  <cols>
    <col min="1" max="1" width="7" customWidth="1"/>
    <col min="2" max="2" width="23" customWidth="1"/>
    <col min="3" max="3" width="12" customWidth="1"/>
    <col min="4" max="4" width="29" customWidth="1"/>
    <col min="5" max="5" width="34" customWidth="1"/>
    <col min="6" max="6" width="29" customWidth="1"/>
    <col min="7" max="7" width="43" customWidth="1"/>
  </cols>
  <sheetData>
    <row r="1" spans="1:7" ht="32" customHeight="1">
      <c r="A1" s="26" t="s">
        <v>0</v>
      </c>
      <c r="B1" s="27"/>
      <c r="C1" s="27"/>
      <c r="D1" s="27"/>
      <c r="E1" s="27"/>
      <c r="F1" s="27"/>
      <c r="G1" s="27"/>
    </row>
    <row r="3" spans="1:7" ht="22" customHeight="1">
      <c r="A3" s="28" t="s">
        <v>1</v>
      </c>
      <c r="B3" s="28"/>
      <c r="C3" s="28"/>
      <c r="D3" s="28" t="s">
        <v>2</v>
      </c>
      <c r="E3" s="28"/>
      <c r="F3" s="28"/>
      <c r="G3" s="1"/>
    </row>
    <row r="4" spans="1:7" ht="34" customHeight="1" thickBot="1">
      <c r="A4" s="29">
        <f>COUNTA(A8:A15)</f>
        <v>8</v>
      </c>
      <c r="B4" s="29"/>
      <c r="C4" s="29"/>
      <c r="D4" s="29">
        <f>COUNTA('02_Endpoint_Contract'!$A$4:$A$27)</f>
        <v>24</v>
      </c>
      <c r="E4" s="29"/>
      <c r="F4" s="29"/>
      <c r="G4" s="2"/>
    </row>
    <row r="7" spans="1:7" ht="34" customHeight="1" thickBot="1">
      <c r="A7" s="3" t="s">
        <v>3</v>
      </c>
      <c r="B7" s="3" t="s">
        <v>4</v>
      </c>
      <c r="C7" s="3" t="s">
        <v>5</v>
      </c>
      <c r="D7" s="3" t="s">
        <v>6</v>
      </c>
      <c r="E7" s="3" t="s">
        <v>7</v>
      </c>
      <c r="F7" s="3" t="s">
        <v>8</v>
      </c>
      <c r="G7" s="3" t="s">
        <v>9</v>
      </c>
    </row>
    <row r="8" spans="1:7" ht="58" customHeight="1">
      <c r="A8" s="6">
        <v>1</v>
      </c>
      <c r="B8" s="4" t="s">
        <v>10</v>
      </c>
      <c r="C8" s="6" t="s">
        <v>11</v>
      </c>
      <c r="D8" s="4" t="s">
        <v>12</v>
      </c>
      <c r="E8" s="4" t="s">
        <v>13</v>
      </c>
      <c r="F8" s="4" t="s">
        <v>14</v>
      </c>
      <c r="G8" s="4" t="s">
        <v>15</v>
      </c>
    </row>
    <row r="9" spans="1:7" ht="58" customHeight="1">
      <c r="A9" s="7">
        <v>2</v>
      </c>
      <c r="B9" s="5" t="s">
        <v>16</v>
      </c>
      <c r="C9" s="7" t="s">
        <v>11</v>
      </c>
      <c r="D9" s="5" t="s">
        <v>17</v>
      </c>
      <c r="E9" s="5" t="s">
        <v>18</v>
      </c>
      <c r="F9" s="5" t="s">
        <v>19</v>
      </c>
      <c r="G9" s="5" t="s">
        <v>20</v>
      </c>
    </row>
    <row r="10" spans="1:7" ht="58" customHeight="1">
      <c r="A10" s="7">
        <v>3</v>
      </c>
      <c r="B10" s="5" t="s">
        <v>21</v>
      </c>
      <c r="C10" s="7" t="s">
        <v>11</v>
      </c>
      <c r="D10" s="5" t="s">
        <v>22</v>
      </c>
      <c r="E10" s="5" t="s">
        <v>23</v>
      </c>
      <c r="F10" s="5" t="s">
        <v>24</v>
      </c>
      <c r="G10" s="5" t="s">
        <v>25</v>
      </c>
    </row>
    <row r="11" spans="1:7" ht="58" customHeight="1">
      <c r="A11" s="7">
        <v>4</v>
      </c>
      <c r="B11" s="5" t="s">
        <v>26</v>
      </c>
      <c r="C11" s="7" t="s">
        <v>11</v>
      </c>
      <c r="D11" s="5" t="s">
        <v>27</v>
      </c>
      <c r="E11" s="5" t="s">
        <v>28</v>
      </c>
      <c r="F11" s="5" t="s">
        <v>24</v>
      </c>
      <c r="G11" s="5" t="s">
        <v>29</v>
      </c>
    </row>
    <row r="12" spans="1:7" ht="58" customHeight="1">
      <c r="A12" s="7">
        <v>5</v>
      </c>
      <c r="B12" s="5" t="s">
        <v>30</v>
      </c>
      <c r="C12" s="7" t="s">
        <v>11</v>
      </c>
      <c r="D12" s="5" t="s">
        <v>31</v>
      </c>
      <c r="E12" s="5" t="s">
        <v>32</v>
      </c>
      <c r="F12" s="5" t="s">
        <v>33</v>
      </c>
      <c r="G12" s="5" t="s">
        <v>34</v>
      </c>
    </row>
    <row r="13" spans="1:7" ht="58" customHeight="1">
      <c r="A13" s="7">
        <v>6</v>
      </c>
      <c r="B13" s="5" t="s">
        <v>35</v>
      </c>
      <c r="C13" s="7" t="s">
        <v>11</v>
      </c>
      <c r="D13" s="5" t="s">
        <v>36</v>
      </c>
      <c r="E13" s="5" t="s">
        <v>37</v>
      </c>
      <c r="F13" s="5" t="s">
        <v>38</v>
      </c>
      <c r="G13" s="5" t="s">
        <v>39</v>
      </c>
    </row>
    <row r="14" spans="1:7" ht="58" customHeight="1">
      <c r="A14" s="7">
        <v>7</v>
      </c>
      <c r="B14" s="5" t="s">
        <v>40</v>
      </c>
      <c r="C14" s="7" t="s">
        <v>11</v>
      </c>
      <c r="D14" s="5" t="s">
        <v>36</v>
      </c>
      <c r="E14" s="5" t="s">
        <v>37</v>
      </c>
      <c r="F14" s="5" t="s">
        <v>38</v>
      </c>
      <c r="G14" s="5" t="s">
        <v>39</v>
      </c>
    </row>
    <row r="15" spans="1:7" ht="58" customHeight="1">
      <c r="A15" s="7">
        <v>8</v>
      </c>
      <c r="B15" s="5" t="s">
        <v>41</v>
      </c>
      <c r="C15" s="7" t="s">
        <v>42</v>
      </c>
      <c r="D15" s="5" t="s">
        <v>43</v>
      </c>
      <c r="E15" s="5" t="s">
        <v>44</v>
      </c>
      <c r="F15" s="5" t="s">
        <v>45</v>
      </c>
      <c r="G15" s="5" t="s">
        <v>46</v>
      </c>
    </row>
  </sheetData>
  <mergeCells count="5">
    <mergeCell ref="A1:G1"/>
    <mergeCell ref="A3:C3"/>
    <mergeCell ref="A4:C4"/>
    <mergeCell ref="D3:F3"/>
    <mergeCell ref="D4:F4"/>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topLeftCell="A18" workbookViewId="0">
      <selection activeCell="E25" sqref="E25"/>
    </sheetView>
  </sheetViews>
  <sheetFormatPr baseColWidth="10" defaultColWidth="8.83203125" defaultRowHeight="14"/>
  <cols>
    <col min="1" max="1" width="13" customWidth="1"/>
    <col min="2" max="2" width="22" customWidth="1"/>
    <col min="3" max="3" width="24" customWidth="1"/>
    <col min="4" max="4" width="15" customWidth="1"/>
    <col min="5" max="5" width="39" customWidth="1"/>
    <col min="6" max="6" width="37" customWidth="1"/>
    <col min="7" max="7" width="31" customWidth="1"/>
    <col min="8" max="8" width="43.6640625" customWidth="1"/>
    <col min="9" max="9" width="39" customWidth="1"/>
  </cols>
  <sheetData>
    <row r="1" spans="1:9" ht="32" customHeight="1">
      <c r="A1" s="26" t="s">
        <v>47</v>
      </c>
      <c r="B1" s="27"/>
      <c r="C1" s="27"/>
      <c r="D1" s="27"/>
      <c r="E1" s="27"/>
      <c r="F1" s="27"/>
      <c r="G1" s="27"/>
      <c r="H1" s="27"/>
      <c r="I1" s="27"/>
    </row>
    <row r="3" spans="1:9" ht="34" customHeight="1" thickBot="1">
      <c r="A3" s="3" t="s">
        <v>48</v>
      </c>
      <c r="B3" s="3" t="s">
        <v>4</v>
      </c>
      <c r="C3" s="3" t="s">
        <v>49</v>
      </c>
      <c r="D3" s="3" t="s">
        <v>50</v>
      </c>
      <c r="E3" s="3" t="s">
        <v>51</v>
      </c>
      <c r="F3" s="3" t="s">
        <v>52</v>
      </c>
      <c r="G3" s="3" t="s">
        <v>53</v>
      </c>
      <c r="H3" s="3" t="s">
        <v>54</v>
      </c>
      <c r="I3" s="3" t="s">
        <v>55</v>
      </c>
    </row>
    <row r="4" spans="1:9" ht="82" customHeight="1">
      <c r="A4" s="8" t="s">
        <v>56</v>
      </c>
      <c r="B4" s="9" t="s">
        <v>10</v>
      </c>
      <c r="C4" s="4" t="s">
        <v>8</v>
      </c>
      <c r="D4" s="4" t="s">
        <v>57</v>
      </c>
      <c r="E4" s="4" t="s">
        <v>58</v>
      </c>
      <c r="F4" s="4" t="s">
        <v>59</v>
      </c>
      <c r="G4" s="4" t="s">
        <v>60</v>
      </c>
      <c r="H4" s="4" t="s">
        <v>61</v>
      </c>
      <c r="I4" s="4" t="s">
        <v>159</v>
      </c>
    </row>
    <row r="5" spans="1:9" ht="82" customHeight="1">
      <c r="A5" s="10" t="s">
        <v>62</v>
      </c>
      <c r="B5" s="11" t="s">
        <v>10</v>
      </c>
      <c r="C5" s="5" t="s">
        <v>63</v>
      </c>
      <c r="D5" s="5" t="s">
        <v>64</v>
      </c>
      <c r="E5" s="5" t="s">
        <v>65</v>
      </c>
      <c r="F5" s="5" t="s">
        <v>66</v>
      </c>
      <c r="G5" s="5" t="s">
        <v>61</v>
      </c>
      <c r="H5" s="5" t="s">
        <v>67</v>
      </c>
      <c r="I5" s="5" t="s">
        <v>68</v>
      </c>
    </row>
    <row r="6" spans="1:9" ht="82" customHeight="1">
      <c r="A6" s="10" t="s">
        <v>69</v>
      </c>
      <c r="B6" s="11" t="s">
        <v>10</v>
      </c>
      <c r="C6" s="5" t="s">
        <v>70</v>
      </c>
      <c r="D6" s="5" t="s">
        <v>64</v>
      </c>
      <c r="E6" s="5" t="s">
        <v>71</v>
      </c>
      <c r="F6" s="5" t="s">
        <v>66</v>
      </c>
      <c r="G6" s="5" t="s">
        <v>72</v>
      </c>
      <c r="H6" s="5" t="s">
        <v>73</v>
      </c>
      <c r="I6" s="5" t="s">
        <v>74</v>
      </c>
    </row>
    <row r="7" spans="1:9" ht="104" customHeight="1">
      <c r="A7" s="12" t="s">
        <v>75</v>
      </c>
      <c r="B7" s="13" t="s">
        <v>16</v>
      </c>
      <c r="C7" s="5" t="s">
        <v>76</v>
      </c>
      <c r="D7" s="5" t="s">
        <v>64</v>
      </c>
      <c r="E7" s="5" t="s">
        <v>77</v>
      </c>
      <c r="F7" s="5" t="s">
        <v>78</v>
      </c>
      <c r="G7" s="5" t="s">
        <v>61</v>
      </c>
      <c r="H7" s="5" t="s">
        <v>163</v>
      </c>
      <c r="I7" s="5" t="s">
        <v>79</v>
      </c>
    </row>
    <row r="8" spans="1:9" ht="82" customHeight="1">
      <c r="A8" s="12" t="s">
        <v>80</v>
      </c>
      <c r="B8" s="13" t="s">
        <v>16</v>
      </c>
      <c r="C8" s="5" t="s">
        <v>81</v>
      </c>
      <c r="D8" s="5" t="s">
        <v>64</v>
      </c>
      <c r="E8" s="5" t="s">
        <v>82</v>
      </c>
      <c r="F8" s="5" t="s">
        <v>78</v>
      </c>
      <c r="G8" s="5" t="s">
        <v>61</v>
      </c>
      <c r="H8" s="5" t="s">
        <v>160</v>
      </c>
      <c r="I8" s="5" t="s">
        <v>83</v>
      </c>
    </row>
    <row r="9" spans="1:9" ht="98" customHeight="1">
      <c r="A9" s="12" t="s">
        <v>84</v>
      </c>
      <c r="B9" s="13" t="s">
        <v>16</v>
      </c>
      <c r="C9" s="5" t="s">
        <v>85</v>
      </c>
      <c r="D9" s="5" t="s">
        <v>64</v>
      </c>
      <c r="E9" s="5" t="s">
        <v>86</v>
      </c>
      <c r="F9" s="5" t="s">
        <v>78</v>
      </c>
      <c r="G9" s="5" t="s">
        <v>61</v>
      </c>
      <c r="H9" s="5" t="s">
        <v>161</v>
      </c>
      <c r="I9" s="5" t="s">
        <v>87</v>
      </c>
    </row>
    <row r="10" spans="1:9" ht="82" customHeight="1">
      <c r="A10" s="14" t="s">
        <v>88</v>
      </c>
      <c r="B10" s="15" t="s">
        <v>21</v>
      </c>
      <c r="C10" s="5" t="s">
        <v>89</v>
      </c>
      <c r="D10" s="5" t="s">
        <v>64</v>
      </c>
      <c r="E10" s="5" t="s">
        <v>90</v>
      </c>
      <c r="F10" s="5" t="s">
        <v>91</v>
      </c>
      <c r="G10" s="5" t="s">
        <v>61</v>
      </c>
      <c r="H10" s="5"/>
      <c r="I10" s="5"/>
    </row>
    <row r="11" spans="1:9" ht="82" customHeight="1">
      <c r="A11" s="14" t="s">
        <v>92</v>
      </c>
      <c r="B11" s="15" t="s">
        <v>21</v>
      </c>
      <c r="C11" s="5" t="s">
        <v>93</v>
      </c>
      <c r="D11" s="5" t="s">
        <v>64</v>
      </c>
      <c r="E11" s="5" t="s">
        <v>94</v>
      </c>
      <c r="F11" s="5" t="s">
        <v>91</v>
      </c>
      <c r="G11" s="5" t="s">
        <v>61</v>
      </c>
      <c r="H11" s="5" t="s">
        <v>61</v>
      </c>
      <c r="I11" s="5"/>
    </row>
    <row r="12" spans="1:9" ht="82" customHeight="1">
      <c r="A12" s="14" t="s">
        <v>95</v>
      </c>
      <c r="B12" s="15" t="s">
        <v>21</v>
      </c>
      <c r="C12" s="5" t="s">
        <v>70</v>
      </c>
      <c r="D12" s="5" t="s">
        <v>64</v>
      </c>
      <c r="E12" s="5" t="s">
        <v>96</v>
      </c>
      <c r="F12" s="5" t="s">
        <v>97</v>
      </c>
      <c r="G12" s="5" t="s">
        <v>61</v>
      </c>
      <c r="H12" s="5" t="s">
        <v>162</v>
      </c>
      <c r="I12" s="5" t="s">
        <v>98</v>
      </c>
    </row>
    <row r="13" spans="1:9" ht="82" customHeight="1">
      <c r="A13" s="16" t="s">
        <v>99</v>
      </c>
      <c r="B13" s="17" t="s">
        <v>26</v>
      </c>
      <c r="C13" s="5" t="s">
        <v>63</v>
      </c>
      <c r="D13" s="5" t="s">
        <v>64</v>
      </c>
      <c r="E13" s="5" t="s">
        <v>100</v>
      </c>
      <c r="F13" s="5" t="s">
        <v>101</v>
      </c>
      <c r="G13" s="5" t="s">
        <v>102</v>
      </c>
      <c r="H13" s="5" t="s">
        <v>164</v>
      </c>
      <c r="I13" s="5" t="s">
        <v>103</v>
      </c>
    </row>
    <row r="14" spans="1:9" ht="82" customHeight="1">
      <c r="A14" s="16" t="s">
        <v>104</v>
      </c>
      <c r="B14" s="17" t="s">
        <v>26</v>
      </c>
      <c r="C14" s="5" t="s">
        <v>70</v>
      </c>
      <c r="D14" s="5" t="s">
        <v>64</v>
      </c>
      <c r="E14" s="5" t="s">
        <v>105</v>
      </c>
      <c r="F14" s="5" t="s">
        <v>101</v>
      </c>
      <c r="G14" s="5" t="s">
        <v>102</v>
      </c>
      <c r="H14" s="5" t="s">
        <v>165</v>
      </c>
      <c r="I14" s="5" t="s">
        <v>106</v>
      </c>
    </row>
    <row r="15" spans="1:9" ht="82" customHeight="1">
      <c r="A15" s="18" t="s">
        <v>107</v>
      </c>
      <c r="B15" s="19" t="s">
        <v>30</v>
      </c>
      <c r="C15" s="5" t="s">
        <v>8</v>
      </c>
      <c r="D15" s="5" t="s">
        <v>57</v>
      </c>
      <c r="E15" s="5" t="s">
        <v>108</v>
      </c>
      <c r="F15" s="5" t="s">
        <v>109</v>
      </c>
      <c r="G15" s="5" t="s">
        <v>110</v>
      </c>
      <c r="H15" s="5" t="s">
        <v>61</v>
      </c>
      <c r="I15" s="5" t="s">
        <v>111</v>
      </c>
    </row>
    <row r="16" spans="1:9" ht="82" customHeight="1">
      <c r="A16" s="18" t="s">
        <v>112</v>
      </c>
      <c r="B16" s="19" t="s">
        <v>30</v>
      </c>
      <c r="C16" s="5" t="s">
        <v>63</v>
      </c>
      <c r="D16" s="5" t="s">
        <v>64</v>
      </c>
      <c r="E16" s="5" t="s">
        <v>113</v>
      </c>
      <c r="F16" s="5" t="s">
        <v>114</v>
      </c>
      <c r="G16" s="5" t="s">
        <v>61</v>
      </c>
      <c r="H16" s="5" t="s">
        <v>166</v>
      </c>
      <c r="I16" s="5" t="s">
        <v>115</v>
      </c>
    </row>
    <row r="17" spans="1:9" ht="82" customHeight="1">
      <c r="A17" s="18" t="s">
        <v>116</v>
      </c>
      <c r="B17" s="19" t="s">
        <v>30</v>
      </c>
      <c r="C17" s="5" t="s">
        <v>70</v>
      </c>
      <c r="D17" s="5" t="s">
        <v>64</v>
      </c>
      <c r="E17" s="5" t="s">
        <v>117</v>
      </c>
      <c r="F17" s="5" t="s">
        <v>114</v>
      </c>
      <c r="G17" s="5" t="s">
        <v>61</v>
      </c>
      <c r="H17" s="5" t="s">
        <v>167</v>
      </c>
      <c r="I17" s="5" t="s">
        <v>118</v>
      </c>
    </row>
    <row r="18" spans="1:9" ht="82" customHeight="1">
      <c r="A18" s="20" t="s">
        <v>119</v>
      </c>
      <c r="B18" s="21" t="s">
        <v>35</v>
      </c>
      <c r="C18" s="5" t="s">
        <v>8</v>
      </c>
      <c r="D18" s="5" t="s">
        <v>57</v>
      </c>
      <c r="E18" s="33" t="s">
        <v>120</v>
      </c>
      <c r="F18" s="5" t="s">
        <v>121</v>
      </c>
      <c r="G18" s="5" t="s">
        <v>122</v>
      </c>
      <c r="H18" s="5" t="s">
        <v>61</v>
      </c>
      <c r="I18" s="5" t="s">
        <v>123</v>
      </c>
    </row>
    <row r="19" spans="1:9" ht="82" customHeight="1">
      <c r="A19" s="20" t="s">
        <v>124</v>
      </c>
      <c r="B19" s="21" t="s">
        <v>35</v>
      </c>
      <c r="C19" s="5" t="s">
        <v>125</v>
      </c>
      <c r="D19" s="5" t="s">
        <v>64</v>
      </c>
      <c r="E19" s="33" t="s">
        <v>126</v>
      </c>
      <c r="F19" s="5" t="s">
        <v>127</v>
      </c>
      <c r="G19" s="5" t="s">
        <v>128</v>
      </c>
      <c r="H19" s="5" t="s">
        <v>129</v>
      </c>
      <c r="I19" s="5" t="s">
        <v>130</v>
      </c>
    </row>
    <row r="20" spans="1:9" ht="82" customHeight="1">
      <c r="A20" s="20" t="s">
        <v>131</v>
      </c>
      <c r="B20" s="21" t="s">
        <v>35</v>
      </c>
      <c r="C20" s="5" t="s">
        <v>132</v>
      </c>
      <c r="D20" s="5" t="s">
        <v>64</v>
      </c>
      <c r="E20" s="5" t="s">
        <v>126</v>
      </c>
      <c r="F20" s="5" t="s">
        <v>127</v>
      </c>
      <c r="G20" s="5" t="s">
        <v>128</v>
      </c>
      <c r="H20" s="5" t="s">
        <v>133</v>
      </c>
      <c r="I20" s="5" t="s">
        <v>134</v>
      </c>
    </row>
    <row r="21" spans="1:9" ht="82" customHeight="1">
      <c r="A21" s="20" t="s">
        <v>135</v>
      </c>
      <c r="B21" s="21" t="s">
        <v>35</v>
      </c>
      <c r="C21" s="5" t="s">
        <v>70</v>
      </c>
      <c r="D21" s="5" t="s">
        <v>136</v>
      </c>
      <c r="E21" s="5" t="s">
        <v>137</v>
      </c>
      <c r="F21" s="5" t="s">
        <v>138</v>
      </c>
      <c r="G21" s="5" t="s">
        <v>61</v>
      </c>
      <c r="H21" s="5" t="s">
        <v>139</v>
      </c>
      <c r="I21" s="5" t="s">
        <v>140</v>
      </c>
    </row>
    <row r="22" spans="1:9" ht="82" customHeight="1">
      <c r="A22" s="22" t="s">
        <v>141</v>
      </c>
      <c r="B22" s="23" t="s">
        <v>40</v>
      </c>
      <c r="C22" s="5" t="s">
        <v>8</v>
      </c>
      <c r="D22" s="5" t="s">
        <v>57</v>
      </c>
      <c r="E22" s="5" t="s">
        <v>120</v>
      </c>
      <c r="F22" s="5" t="s">
        <v>121</v>
      </c>
      <c r="G22" s="5" t="s">
        <v>122</v>
      </c>
      <c r="H22" s="5" t="s">
        <v>61</v>
      </c>
      <c r="I22" s="5" t="s">
        <v>123</v>
      </c>
    </row>
    <row r="23" spans="1:9" ht="82" customHeight="1">
      <c r="A23" s="22" t="s">
        <v>142</v>
      </c>
      <c r="B23" s="23" t="s">
        <v>40</v>
      </c>
      <c r="C23" s="5" t="s">
        <v>125</v>
      </c>
      <c r="D23" s="5" t="s">
        <v>64</v>
      </c>
      <c r="E23" s="5" t="s">
        <v>126</v>
      </c>
      <c r="F23" s="5" t="s">
        <v>127</v>
      </c>
      <c r="G23" s="5" t="s">
        <v>128</v>
      </c>
      <c r="H23" s="5" t="s">
        <v>143</v>
      </c>
      <c r="I23" s="5" t="s">
        <v>130</v>
      </c>
    </row>
    <row r="24" spans="1:9" ht="82" customHeight="1">
      <c r="A24" s="22" t="s">
        <v>144</v>
      </c>
      <c r="B24" s="23" t="s">
        <v>40</v>
      </c>
      <c r="C24" s="5" t="s">
        <v>132</v>
      </c>
      <c r="D24" s="5" t="s">
        <v>64</v>
      </c>
      <c r="E24" s="5" t="s">
        <v>126</v>
      </c>
      <c r="F24" s="5" t="s">
        <v>127</v>
      </c>
      <c r="G24" s="5" t="s">
        <v>128</v>
      </c>
      <c r="H24" s="5" t="s">
        <v>145</v>
      </c>
      <c r="I24" s="5" t="s">
        <v>134</v>
      </c>
    </row>
    <row r="25" spans="1:9" ht="82" customHeight="1">
      <c r="A25" s="22" t="s">
        <v>146</v>
      </c>
      <c r="B25" s="23" t="s">
        <v>40</v>
      </c>
      <c r="C25" s="5" t="s">
        <v>70</v>
      </c>
      <c r="D25" s="5" t="s">
        <v>136</v>
      </c>
      <c r="E25" s="5" t="s">
        <v>137</v>
      </c>
      <c r="F25" s="5" t="s">
        <v>138</v>
      </c>
      <c r="G25" s="5" t="s">
        <v>61</v>
      </c>
      <c r="H25" s="5" t="s">
        <v>147</v>
      </c>
      <c r="I25" s="5" t="s">
        <v>148</v>
      </c>
    </row>
    <row r="26" spans="1:9" ht="82" customHeight="1">
      <c r="A26" s="24" t="s">
        <v>149</v>
      </c>
      <c r="B26" s="25" t="s">
        <v>41</v>
      </c>
      <c r="C26" s="5" t="s">
        <v>150</v>
      </c>
      <c r="D26" s="5" t="s">
        <v>64</v>
      </c>
      <c r="E26" s="5" t="s">
        <v>151</v>
      </c>
      <c r="F26" s="5" t="s">
        <v>152</v>
      </c>
      <c r="G26" s="5" t="s">
        <v>61</v>
      </c>
      <c r="H26" s="5" t="s">
        <v>153</v>
      </c>
      <c r="I26" s="5" t="s">
        <v>154</v>
      </c>
    </row>
    <row r="27" spans="1:9" ht="82" customHeight="1">
      <c r="A27" s="24" t="s">
        <v>155</v>
      </c>
      <c r="B27" s="25" t="s">
        <v>41</v>
      </c>
      <c r="C27" s="5" t="s">
        <v>156</v>
      </c>
      <c r="D27" s="5" t="s">
        <v>64</v>
      </c>
      <c r="E27" s="5" t="s">
        <v>151</v>
      </c>
      <c r="F27" s="5" t="s">
        <v>152</v>
      </c>
      <c r="G27" s="5" t="s">
        <v>61</v>
      </c>
      <c r="H27" s="5" t="s">
        <v>157</v>
      </c>
      <c r="I27" s="5" t="s">
        <v>158</v>
      </c>
    </row>
  </sheetData>
  <mergeCells count="1">
    <mergeCell ref="A1:I1"/>
  </mergeCells>
  <hyperlinks>
    <hyperlink ref="E18" r:id="rId1" xr:uid="{84BBA265-7EA0-6C4B-9026-DCF81E738446}"/>
    <hyperlink ref="E19" r:id="rId2" xr:uid="{57354B13-4B87-AC4B-A644-683D594802DB}"/>
  </hyperlinks>
  <pageMargins left="0.7" right="0.7" top="0.75" bottom="0.75" header="0.3" footer="0.3"/>
  <pageSetup orientation="portrait" horizontalDpi="0" verticalDpi="0"/>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86036-4B07-2043-9BBE-65F36C7BE059}">
  <dimension ref="A1:E18"/>
  <sheetViews>
    <sheetView zoomScale="85" zoomScaleNormal="100" workbookViewId="0">
      <selection activeCell="F17" sqref="F17"/>
    </sheetView>
  </sheetViews>
  <sheetFormatPr baseColWidth="10" defaultRowHeight="14"/>
  <cols>
    <col min="1" max="1" width="19.5" customWidth="1"/>
    <col min="2" max="2" width="19.83203125" customWidth="1"/>
    <col min="3" max="3" width="16.33203125" customWidth="1"/>
    <col min="4" max="4" width="39.83203125" customWidth="1"/>
    <col min="5" max="5" width="48.83203125" customWidth="1"/>
  </cols>
  <sheetData>
    <row r="1" spans="1:5">
      <c r="A1" t="s">
        <v>11</v>
      </c>
      <c r="B1" t="s">
        <v>49</v>
      </c>
      <c r="C1" t="s">
        <v>170</v>
      </c>
      <c r="D1" t="s">
        <v>169</v>
      </c>
      <c r="E1" t="s">
        <v>173</v>
      </c>
    </row>
    <row r="2" spans="1:5" ht="15">
      <c r="A2" t="s">
        <v>168</v>
      </c>
      <c r="B2" t="s">
        <v>8</v>
      </c>
      <c r="C2" t="s">
        <v>171</v>
      </c>
      <c r="D2" s="31" t="s">
        <v>172</v>
      </c>
      <c r="E2" t="s">
        <v>174</v>
      </c>
    </row>
    <row r="3" spans="1:5" ht="308" customHeight="1">
      <c r="B3" t="s">
        <v>176</v>
      </c>
      <c r="C3" t="s">
        <v>175</v>
      </c>
      <c r="D3" s="31" t="s">
        <v>177</v>
      </c>
      <c r="E3" s="32" t="s">
        <v>206</v>
      </c>
    </row>
    <row r="4" spans="1:5" ht="409.6">
      <c r="B4" t="s">
        <v>70</v>
      </c>
      <c r="C4" t="s">
        <v>175</v>
      </c>
      <c r="D4" s="31" t="s">
        <v>178</v>
      </c>
      <c r="E4" s="32" t="s">
        <v>207</v>
      </c>
    </row>
    <row r="5" spans="1:5" ht="409.6">
      <c r="A5" t="s">
        <v>179</v>
      </c>
      <c r="B5" t="s">
        <v>76</v>
      </c>
      <c r="C5" t="s">
        <v>175</v>
      </c>
      <c r="D5" s="31" t="s">
        <v>180</v>
      </c>
      <c r="E5" s="32" t="s">
        <v>208</v>
      </c>
    </row>
    <row r="6" spans="1:5" ht="409.6">
      <c r="B6" t="s">
        <v>181</v>
      </c>
      <c r="C6" t="s">
        <v>175</v>
      </c>
      <c r="D6" s="31" t="s">
        <v>182</v>
      </c>
      <c r="E6" s="32" t="s">
        <v>209</v>
      </c>
    </row>
    <row r="7" spans="1:5" ht="409.6">
      <c r="B7" t="s">
        <v>183</v>
      </c>
      <c r="C7" t="s">
        <v>175</v>
      </c>
      <c r="D7" s="31" t="s">
        <v>184</v>
      </c>
      <c r="E7" s="32" t="s">
        <v>210</v>
      </c>
    </row>
    <row r="8" spans="1:5" ht="15">
      <c r="A8" t="s">
        <v>185</v>
      </c>
      <c r="B8" t="s">
        <v>188</v>
      </c>
      <c r="C8" t="s">
        <v>175</v>
      </c>
      <c r="D8" s="30" t="s">
        <v>186</v>
      </c>
      <c r="E8" s="32" t="s">
        <v>187</v>
      </c>
    </row>
    <row r="9" spans="1:5" ht="409.6">
      <c r="B9" t="s">
        <v>176</v>
      </c>
      <c r="C9" t="s">
        <v>175</v>
      </c>
      <c r="D9" s="31" t="s">
        <v>189</v>
      </c>
      <c r="E9" s="32" t="s">
        <v>211</v>
      </c>
    </row>
    <row r="10" spans="1:5" ht="409.6">
      <c r="B10" t="s">
        <v>70</v>
      </c>
      <c r="C10" t="s">
        <v>175</v>
      </c>
      <c r="D10" s="31" t="s">
        <v>190</v>
      </c>
      <c r="E10" s="32" t="s">
        <v>212</v>
      </c>
    </row>
    <row r="11" spans="1:5" ht="30">
      <c r="A11" t="s">
        <v>191</v>
      </c>
      <c r="B11" t="s">
        <v>192</v>
      </c>
      <c r="C11" t="s">
        <v>175</v>
      </c>
      <c r="D11" s="31" t="s">
        <v>193</v>
      </c>
      <c r="E11" s="32" t="s">
        <v>187</v>
      </c>
    </row>
    <row r="12" spans="1:5" ht="409.6">
      <c r="B12" s="32" t="s">
        <v>194</v>
      </c>
      <c r="C12" t="s">
        <v>175</v>
      </c>
      <c r="D12" s="31" t="s">
        <v>195</v>
      </c>
      <c r="E12" s="32" t="s">
        <v>213</v>
      </c>
    </row>
    <row r="13" spans="1:5" ht="409.6">
      <c r="B13" s="32" t="s">
        <v>196</v>
      </c>
      <c r="C13" t="s">
        <v>175</v>
      </c>
      <c r="D13" s="31" t="s">
        <v>197</v>
      </c>
      <c r="E13" s="32" t="s">
        <v>214</v>
      </c>
    </row>
    <row r="14" spans="1:5" ht="180">
      <c r="B14" t="s">
        <v>70</v>
      </c>
      <c r="C14" s="32" t="s">
        <v>136</v>
      </c>
      <c r="D14" s="32" t="s">
        <v>137</v>
      </c>
      <c r="E14" s="32" t="s">
        <v>205</v>
      </c>
    </row>
    <row r="15" spans="1:5" ht="15">
      <c r="A15" t="s">
        <v>198</v>
      </c>
      <c r="B15" t="s">
        <v>192</v>
      </c>
      <c r="C15" t="s">
        <v>175</v>
      </c>
      <c r="D15" s="30" t="s">
        <v>193</v>
      </c>
      <c r="E15" s="32" t="s">
        <v>187</v>
      </c>
    </row>
    <row r="16" spans="1:5" ht="409.6">
      <c r="B16" s="32" t="s">
        <v>199</v>
      </c>
      <c r="C16" t="s">
        <v>175</v>
      </c>
      <c r="D16" s="31" t="s">
        <v>200</v>
      </c>
      <c r="E16" s="32" t="s">
        <v>215</v>
      </c>
    </row>
    <row r="17" spans="2:5" ht="409.6">
      <c r="B17" s="32" t="s">
        <v>201</v>
      </c>
      <c r="C17" t="s">
        <v>175</v>
      </c>
      <c r="D17" s="31" t="s">
        <v>202</v>
      </c>
      <c r="E17" s="32" t="s">
        <v>216</v>
      </c>
    </row>
    <row r="18" spans="2:5" ht="210">
      <c r="B18" s="32" t="s">
        <v>203</v>
      </c>
      <c r="C18" s="32" t="s">
        <v>136</v>
      </c>
      <c r="D18" s="32" t="s">
        <v>137</v>
      </c>
      <c r="E18" s="32" t="s">
        <v>204</v>
      </c>
    </row>
  </sheetData>
  <hyperlinks>
    <hyperlink ref="D2" r:id="rId1" xr:uid="{4EDEAD87-DDFB-764B-BD0B-A0F4C159C811}"/>
    <hyperlink ref="D3" r:id="rId2" xr:uid="{6F375B93-75A0-7B4D-A954-F9E174ADB423}"/>
    <hyperlink ref="D4" r:id="rId3" xr:uid="{35B23FE5-CA44-394A-A06A-D2DA202CA8C9}"/>
    <hyperlink ref="D5" r:id="rId4" xr:uid="{6FD2F1BE-58B5-3E47-B87D-CB02B3ED6E09}"/>
    <hyperlink ref="D6" r:id="rId5" xr:uid="{A6E67628-1916-2848-AF33-4A161F87C543}"/>
    <hyperlink ref="D7" r:id="rId6" xr:uid="{F44F597D-AB31-0A48-B48E-7E18488D8438}"/>
    <hyperlink ref="D8" r:id="rId7" xr:uid="{474E6833-54BF-2A42-A233-55429124AFC0}"/>
    <hyperlink ref="D9" r:id="rId8" xr:uid="{023F62A3-035A-D541-B83E-F7A6A64BEA0F}"/>
    <hyperlink ref="D10" r:id="rId9" display="https://api.linkedin.com/v2/learningActivityReports?q=criteria&amp;startedAt=1704067200000&amp;timeOffset.unit=DAY&amp;timeOffset.duration=14&amp;aggregationCriteria.primary=INDIVIDUAL&amp;aggregationCriteria.secondary=CONTENT&amp;contentSource=ALL_SOURCES&amp;assetType=COURSE&amp;count=20&amp;start=0" xr:uid="{B2DFE124-8E10-4A49-B8E7-706E644E73A2}"/>
    <hyperlink ref="D11" r:id="rId10" xr:uid="{951ED6CC-33B2-6E45-8E92-C7ECE56FF888}"/>
    <hyperlink ref="D12" r:id="rId11" xr:uid="{FFF1E723-8E20-4948-B2C3-1ED4F6D73C2C}"/>
    <hyperlink ref="D13" r:id="rId12" xr:uid="{4AC9014B-FEC1-4D4A-A555-026A7943533F}"/>
    <hyperlink ref="D15" r:id="rId13" xr:uid="{CAD6DC6F-37FE-414A-B947-F17F317D8E19}"/>
    <hyperlink ref="D16" r:id="rId14" xr:uid="{1CD624B4-F03F-1040-B93F-F4CD28109B33}"/>
    <hyperlink ref="D17" r:id="rId15" xr:uid="{9876F29A-7513-A94C-BA94-0E23A315FE71}"/>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C9E76-5FEB-C74A-A793-C68C0F806744}">
  <dimension ref="A1:H36"/>
  <sheetViews>
    <sheetView tabSelected="1" zoomScale="125" workbookViewId="0">
      <selection activeCell="G36" sqref="G36"/>
    </sheetView>
  </sheetViews>
  <sheetFormatPr baseColWidth="10" defaultRowHeight="14"/>
  <cols>
    <col min="2" max="2" width="14" customWidth="1"/>
    <col min="3" max="3" width="25.33203125" customWidth="1"/>
    <col min="4" max="4" width="15.1640625" customWidth="1"/>
    <col min="5" max="5" width="65.5" customWidth="1"/>
    <col min="6" max="6" width="37.6640625" customWidth="1"/>
    <col min="7" max="7" width="28" customWidth="1"/>
  </cols>
  <sheetData>
    <row r="1" spans="1:8" ht="15">
      <c r="A1" s="35" t="s">
        <v>220</v>
      </c>
      <c r="B1" s="35" t="s">
        <v>11</v>
      </c>
      <c r="C1" s="35" t="s">
        <v>49</v>
      </c>
      <c r="D1" s="35" t="s">
        <v>217</v>
      </c>
      <c r="E1" s="35" t="s">
        <v>218</v>
      </c>
      <c r="F1" s="35" t="s">
        <v>228</v>
      </c>
      <c r="G1" s="35" t="s">
        <v>219</v>
      </c>
      <c r="H1" s="35"/>
    </row>
    <row r="2" spans="1:8" ht="17">
      <c r="A2">
        <v>1</v>
      </c>
      <c r="B2" t="s">
        <v>221</v>
      </c>
      <c r="C2" t="s">
        <v>8</v>
      </c>
      <c r="D2" t="s">
        <v>222</v>
      </c>
      <c r="E2" s="34" t="s">
        <v>223</v>
      </c>
      <c r="G2" s="32" t="s">
        <v>229</v>
      </c>
    </row>
    <row r="3" spans="1:8" ht="34">
      <c r="A3">
        <v>2</v>
      </c>
      <c r="B3" t="s">
        <v>221</v>
      </c>
      <c r="C3" t="s">
        <v>63</v>
      </c>
      <c r="D3" t="s">
        <v>224</v>
      </c>
      <c r="E3" s="34" t="s">
        <v>225</v>
      </c>
      <c r="F3" s="36" t="s">
        <v>230</v>
      </c>
      <c r="G3" s="32" t="s">
        <v>231</v>
      </c>
    </row>
    <row r="4" spans="1:8" ht="46" customHeight="1">
      <c r="A4">
        <v>3</v>
      </c>
      <c r="B4" t="s">
        <v>221</v>
      </c>
      <c r="C4" t="s">
        <v>70</v>
      </c>
      <c r="D4" t="s">
        <v>226</v>
      </c>
      <c r="E4" t="s">
        <v>227</v>
      </c>
      <c r="F4" s="32" t="s">
        <v>232</v>
      </c>
      <c r="G4" s="32" t="s">
        <v>233</v>
      </c>
    </row>
    <row r="5" spans="1:8" ht="15">
      <c r="A5" s="35"/>
      <c r="B5" s="35"/>
      <c r="C5" s="35"/>
      <c r="D5" s="35"/>
      <c r="E5" s="35"/>
      <c r="F5" s="35"/>
      <c r="G5" s="35"/>
    </row>
    <row r="6" spans="1:8" ht="34">
      <c r="A6">
        <v>1</v>
      </c>
      <c r="B6" t="s">
        <v>16</v>
      </c>
      <c r="C6" t="s">
        <v>76</v>
      </c>
      <c r="D6" t="s">
        <v>222</v>
      </c>
      <c r="E6" s="34" t="s">
        <v>234</v>
      </c>
      <c r="F6" s="36" t="s">
        <v>235</v>
      </c>
      <c r="G6" t="s">
        <v>236</v>
      </c>
    </row>
    <row r="7" spans="1:8" ht="34">
      <c r="A7">
        <v>2</v>
      </c>
      <c r="B7" t="s">
        <v>16</v>
      </c>
      <c r="C7" t="s">
        <v>81</v>
      </c>
      <c r="D7" t="s">
        <v>222</v>
      </c>
      <c r="E7" s="34" t="s">
        <v>237</v>
      </c>
      <c r="F7" s="36" t="s">
        <v>238</v>
      </c>
      <c r="G7" t="s">
        <v>236</v>
      </c>
    </row>
    <row r="8" spans="1:8" ht="34">
      <c r="A8">
        <v>3</v>
      </c>
      <c r="B8" t="s">
        <v>16</v>
      </c>
      <c r="C8" t="s">
        <v>85</v>
      </c>
      <c r="D8" t="s">
        <v>222</v>
      </c>
      <c r="E8" s="34" t="s">
        <v>239</v>
      </c>
      <c r="F8" s="36" t="s">
        <v>240</v>
      </c>
      <c r="G8" t="s">
        <v>236</v>
      </c>
    </row>
    <row r="10" spans="1:8" ht="15">
      <c r="A10" s="35"/>
      <c r="B10" s="35"/>
      <c r="C10" s="35"/>
      <c r="D10" s="35"/>
      <c r="E10" s="35"/>
      <c r="F10" s="35"/>
      <c r="G10" s="35"/>
    </row>
    <row r="11" spans="1:8" ht="16">
      <c r="A11">
        <v>1</v>
      </c>
      <c r="B11" t="s">
        <v>21</v>
      </c>
      <c r="C11" t="s">
        <v>241</v>
      </c>
      <c r="D11" t="s">
        <v>222</v>
      </c>
      <c r="E11" s="34" t="s">
        <v>242</v>
      </c>
      <c r="F11" s="32"/>
      <c r="G11" t="s">
        <v>243</v>
      </c>
    </row>
    <row r="12" spans="1:8" ht="16">
      <c r="A12">
        <v>2</v>
      </c>
      <c r="B12" t="s">
        <v>21</v>
      </c>
      <c r="C12" t="s">
        <v>244</v>
      </c>
      <c r="D12" t="s">
        <v>222</v>
      </c>
      <c r="E12" s="34" t="s">
        <v>245</v>
      </c>
      <c r="F12" s="32"/>
      <c r="G12" t="s">
        <v>243</v>
      </c>
    </row>
    <row r="13" spans="1:8" ht="34">
      <c r="A13">
        <v>3</v>
      </c>
      <c r="B13" t="s">
        <v>21</v>
      </c>
      <c r="C13" t="s">
        <v>70</v>
      </c>
      <c r="D13" t="s">
        <v>222</v>
      </c>
      <c r="E13" s="34" t="s">
        <v>246</v>
      </c>
      <c r="F13" s="36" t="s">
        <v>247</v>
      </c>
      <c r="G13" t="s">
        <v>248</v>
      </c>
    </row>
    <row r="15" spans="1:8" ht="15">
      <c r="A15" s="35"/>
      <c r="B15" s="35"/>
      <c r="C15" s="35"/>
      <c r="D15" s="35"/>
      <c r="E15" s="35"/>
      <c r="F15" s="35"/>
      <c r="G15" s="35"/>
    </row>
    <row r="16" spans="1:8" ht="34">
      <c r="A16">
        <v>1</v>
      </c>
      <c r="B16" t="s">
        <v>26</v>
      </c>
      <c r="C16" t="s">
        <v>63</v>
      </c>
      <c r="D16" t="s">
        <v>222</v>
      </c>
      <c r="E16" s="34" t="s">
        <v>249</v>
      </c>
      <c r="F16" s="36" t="s">
        <v>250</v>
      </c>
      <c r="G16" t="s">
        <v>243</v>
      </c>
    </row>
    <row r="17" spans="1:7" ht="34">
      <c r="A17">
        <v>2</v>
      </c>
      <c r="B17" t="s">
        <v>26</v>
      </c>
      <c r="C17" t="s">
        <v>70</v>
      </c>
      <c r="D17" t="s">
        <v>222</v>
      </c>
      <c r="E17" s="34" t="s">
        <v>251</v>
      </c>
      <c r="F17" s="36" t="s">
        <v>252</v>
      </c>
      <c r="G17" t="s">
        <v>243</v>
      </c>
    </row>
    <row r="19" spans="1:7" ht="15">
      <c r="A19" s="35"/>
      <c r="B19" s="35"/>
      <c r="C19" s="35"/>
      <c r="D19" s="35"/>
      <c r="E19" s="35"/>
      <c r="F19" s="35"/>
      <c r="G19" s="35"/>
    </row>
    <row r="20" spans="1:7" ht="32">
      <c r="A20">
        <v>1</v>
      </c>
      <c r="B20" t="s">
        <v>30</v>
      </c>
      <c r="C20" t="s">
        <v>8</v>
      </c>
      <c r="D20" t="s">
        <v>222</v>
      </c>
      <c r="E20" s="34" t="s">
        <v>253</v>
      </c>
      <c r="G20" s="32" t="s">
        <v>254</v>
      </c>
    </row>
    <row r="21" spans="1:7" ht="34">
      <c r="A21">
        <v>2</v>
      </c>
      <c r="B21" t="s">
        <v>30</v>
      </c>
      <c r="C21" t="s">
        <v>63</v>
      </c>
      <c r="D21" t="s">
        <v>224</v>
      </c>
      <c r="E21" s="34" t="s">
        <v>255</v>
      </c>
      <c r="F21" s="36" t="s">
        <v>256</v>
      </c>
      <c r="G21" t="s">
        <v>257</v>
      </c>
    </row>
    <row r="22" spans="1:7" ht="34">
      <c r="A22">
        <v>3</v>
      </c>
      <c r="B22" t="s">
        <v>30</v>
      </c>
      <c r="C22" t="s">
        <v>70</v>
      </c>
      <c r="D22" t="s">
        <v>224</v>
      </c>
      <c r="E22" s="34" t="s">
        <v>258</v>
      </c>
      <c r="F22" s="32" t="s">
        <v>259</v>
      </c>
      <c r="G22" s="32" t="s">
        <v>260</v>
      </c>
    </row>
    <row r="24" spans="1:7" ht="15">
      <c r="A24" s="35"/>
      <c r="B24" s="35"/>
      <c r="C24" s="35"/>
      <c r="D24" s="35"/>
      <c r="E24" s="35"/>
      <c r="F24" s="35"/>
      <c r="G24" s="35"/>
    </row>
    <row r="25" spans="1:7" ht="16">
      <c r="A25">
        <v>1</v>
      </c>
      <c r="B25" t="s">
        <v>35</v>
      </c>
      <c r="C25" t="s">
        <v>8</v>
      </c>
      <c r="D25" t="s">
        <v>222</v>
      </c>
      <c r="E25" t="s">
        <v>261</v>
      </c>
      <c r="G25" t="s">
        <v>262</v>
      </c>
    </row>
    <row r="26" spans="1:7" ht="34">
      <c r="A26">
        <v>2</v>
      </c>
      <c r="B26" t="s">
        <v>35</v>
      </c>
      <c r="C26" t="s">
        <v>63</v>
      </c>
      <c r="D26" t="s">
        <v>224</v>
      </c>
      <c r="E26" s="32" t="s">
        <v>263</v>
      </c>
      <c r="F26" t="s">
        <v>264</v>
      </c>
      <c r="G26" t="s">
        <v>265</v>
      </c>
    </row>
    <row r="27" spans="1:7" ht="47">
      <c r="A27">
        <v>3</v>
      </c>
      <c r="B27" t="s">
        <v>35</v>
      </c>
      <c r="C27" t="s">
        <v>70</v>
      </c>
      <c r="D27" s="32" t="s">
        <v>266</v>
      </c>
      <c r="E27" s="32" t="s">
        <v>267</v>
      </c>
      <c r="F27" s="32" t="s">
        <v>268</v>
      </c>
      <c r="G27" s="32" t="s">
        <v>269</v>
      </c>
    </row>
    <row r="30" spans="1:7" ht="32">
      <c r="A30">
        <v>1</v>
      </c>
      <c r="B30" t="s">
        <v>40</v>
      </c>
      <c r="C30" t="s">
        <v>8</v>
      </c>
      <c r="D30" t="s">
        <v>222</v>
      </c>
      <c r="E30" t="s">
        <v>270</v>
      </c>
      <c r="F30" t="s">
        <v>61</v>
      </c>
      <c r="G30" s="32" t="s">
        <v>271</v>
      </c>
    </row>
    <row r="31" spans="1:7" ht="34">
      <c r="A31">
        <v>2</v>
      </c>
      <c r="B31" t="s">
        <v>40</v>
      </c>
      <c r="C31" t="s">
        <v>63</v>
      </c>
      <c r="D31" t="s">
        <v>224</v>
      </c>
      <c r="E31" s="32" t="s">
        <v>272</v>
      </c>
      <c r="F31" t="s">
        <v>264</v>
      </c>
      <c r="G31" t="s">
        <v>265</v>
      </c>
    </row>
    <row r="32" spans="1:7" ht="47">
      <c r="A32">
        <v>3</v>
      </c>
      <c r="B32" t="s">
        <v>40</v>
      </c>
      <c r="C32" t="s">
        <v>70</v>
      </c>
      <c r="D32" t="s">
        <v>222</v>
      </c>
      <c r="E32" s="32" t="s">
        <v>273</v>
      </c>
      <c r="F32" s="32" t="s">
        <v>274</v>
      </c>
      <c r="G32" s="32" t="s">
        <v>269</v>
      </c>
    </row>
    <row r="34" spans="1:7" ht="15">
      <c r="A34" s="35"/>
      <c r="B34" s="35"/>
      <c r="C34" s="35"/>
      <c r="D34" s="35"/>
      <c r="E34" s="35"/>
      <c r="F34" s="35"/>
      <c r="G34" s="35"/>
    </row>
    <row r="35" spans="1:7" ht="34">
      <c r="A35">
        <v>1</v>
      </c>
      <c r="B35" t="s">
        <v>41</v>
      </c>
      <c r="C35" t="s">
        <v>275</v>
      </c>
      <c r="D35" t="s">
        <v>222</v>
      </c>
      <c r="E35" t="s">
        <v>276</v>
      </c>
      <c r="F35" t="s">
        <v>277</v>
      </c>
      <c r="G35" s="32" t="s">
        <v>278</v>
      </c>
    </row>
    <row r="36" spans="1:7" ht="34">
      <c r="A36">
        <v>2</v>
      </c>
      <c r="B36" t="s">
        <v>41</v>
      </c>
      <c r="C36" t="s">
        <v>279</v>
      </c>
      <c r="D36" t="s">
        <v>280</v>
      </c>
      <c r="E36" t="s">
        <v>281</v>
      </c>
      <c r="F36" s="36" t="s">
        <v>282</v>
      </c>
      <c r="G36" s="32"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01_Overview</vt:lpstr>
      <vt:lpstr>02_Endpoint_Contract</vt:lpstr>
      <vt:lpstr>03_API Response</vt:lpstr>
      <vt:lpstr>04_Ingestion_Pipeline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Quang Le Kim</cp:lastModifiedBy>
  <dcterms:modified xsi:type="dcterms:W3CDTF">2026-08-21T03:46:15Z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2026-08-20T08:05:41Z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c9fcfedb-4e71-4c4a-afc1-366d1d2359e2</vt:lpwstr>
  </property>
  <property fmtid="{D5CDD505-2E9C-101B-9397-08002B2CF9AE}" pid="7" name="MSIP_Label_defa4170-0d19-0005-0004-bc88714345d2_ActionId">
    <vt:lpwstr>f723667b-a7c8-4e60-a286-4a4af3b3f543</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